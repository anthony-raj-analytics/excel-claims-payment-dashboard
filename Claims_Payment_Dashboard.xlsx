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defaultThemeVersion="166925"/>
  <mc:AlternateContent xmlns:mc="http://schemas.openxmlformats.org/markup-compatibility/2006">
    <mc:Choice Requires="x15">
      <x15ac:absPath xmlns:x15ac="http://schemas.microsoft.com/office/spreadsheetml/2010/11/ac" url="D:\Data Analyst\Domain Class\Advanced excel\Excel dashboard\"/>
    </mc:Choice>
  </mc:AlternateContent>
  <xr:revisionPtr revIDLastSave="0" documentId="13_ncr:1_{0EFA5A35-8119-4188-B89E-1B175E07150C}" xr6:coauthVersionLast="47" xr6:coauthVersionMax="47" xr10:uidLastSave="{00000000-0000-0000-0000-000000000000}"/>
  <bookViews>
    <workbookView xWindow="-110" yWindow="-110" windowWidth="19420" windowHeight="10300" activeTab="2" xr2:uid="{8BB10E1C-1ADA-4C21-856A-7EDC1CFDBF87}"/>
  </bookViews>
  <sheets>
    <sheet name="Healthcare_data" sheetId="1" r:id="rId1"/>
    <sheet name="Pivot" sheetId="2" r:id="rId2"/>
    <sheet name="Dashboard" sheetId="3" r:id="rId3"/>
  </sheets>
  <definedNames>
    <definedName name="NativeTimeline_Date_of_Service">#N/A</definedName>
    <definedName name="Slicer_Denial_Status">#N/A</definedName>
    <definedName name="Slicer_Insurance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8" i="3" l="1"/>
  <c r="B8" i="3"/>
  <c r="D8" i="3"/>
</calcChain>
</file>

<file path=xl/sharedStrings.xml><?xml version="1.0" encoding="utf-8"?>
<sst xmlns="http://schemas.openxmlformats.org/spreadsheetml/2006/main" count="5034" uniqueCount="1134">
  <si>
    <t>Account No</t>
  </si>
  <si>
    <t>Patient Name</t>
  </si>
  <si>
    <t>CPT Code</t>
  </si>
  <si>
    <t>Allowed Amount</t>
  </si>
  <si>
    <t>Adjustment Amount</t>
  </si>
  <si>
    <t>Paid Amount</t>
  </si>
  <si>
    <t>Denial Status</t>
  </si>
  <si>
    <t>Insurance Name</t>
  </si>
  <si>
    <t>Date of Service</t>
  </si>
  <si>
    <t>ACC000001</t>
  </si>
  <si>
    <t>John Harris</t>
  </si>
  <si>
    <t>36415</t>
  </si>
  <si>
    <t>Paid</t>
  </si>
  <si>
    <t>United Health</t>
  </si>
  <si>
    <t>ACC000002</t>
  </si>
  <si>
    <t>David Taylor</t>
  </si>
  <si>
    <t>99214</t>
  </si>
  <si>
    <t>ACC000003</t>
  </si>
  <si>
    <t>Robert Harris</t>
  </si>
  <si>
    <t>99213</t>
  </si>
  <si>
    <t>Blue Cross</t>
  </si>
  <si>
    <t>ACC000004</t>
  </si>
  <si>
    <t>David Lewis</t>
  </si>
  <si>
    <t>93000</t>
  </si>
  <si>
    <t>Medicare</t>
  </si>
  <si>
    <t>ACC000005</t>
  </si>
  <si>
    <t>Charles Taylor</t>
  </si>
  <si>
    <t>80050</t>
  </si>
  <si>
    <t>Cigna</t>
  </si>
  <si>
    <t>ACC000006</t>
  </si>
  <si>
    <t>John Clark</t>
  </si>
  <si>
    <t>71020</t>
  </si>
  <si>
    <t>Aetna</t>
  </si>
  <si>
    <t>ACC000007</t>
  </si>
  <si>
    <t>David Brown</t>
  </si>
  <si>
    <t>ACC000008</t>
  </si>
  <si>
    <t>Joseph Johnson</t>
  </si>
  <si>
    <t>ACC000009</t>
  </si>
  <si>
    <t>James Johnson</t>
  </si>
  <si>
    <t>ACC000010</t>
  </si>
  <si>
    <t>Daniel Walker</t>
  </si>
  <si>
    <t>ACC000011</t>
  </si>
  <si>
    <t>Daniel Taylor</t>
  </si>
  <si>
    <t>ACC000012</t>
  </si>
  <si>
    <t>Robert Lewis</t>
  </si>
  <si>
    <t>Medicaid</t>
  </si>
  <si>
    <t>ACC000013</t>
  </si>
  <si>
    <t>ACC000014</t>
  </si>
  <si>
    <t>John Brown</t>
  </si>
  <si>
    <t>ACC000015</t>
  </si>
  <si>
    <t>Daniel Brown</t>
  </si>
  <si>
    <t>ACC000016</t>
  </si>
  <si>
    <t>ACC000017</t>
  </si>
  <si>
    <t>ACC000018</t>
  </si>
  <si>
    <t>Robert Walker</t>
  </si>
  <si>
    <t>ACC000019</t>
  </si>
  <si>
    <t>Thomas Walker</t>
  </si>
  <si>
    <t>ACC000020</t>
  </si>
  <si>
    <t>ACC000021</t>
  </si>
  <si>
    <t>Michael Clark</t>
  </si>
  <si>
    <t>ACC000022</t>
  </si>
  <si>
    <t>Thomas Johnson</t>
  </si>
  <si>
    <t>ACC000023</t>
  </si>
  <si>
    <t>James Walker</t>
  </si>
  <si>
    <t>ACC000024</t>
  </si>
  <si>
    <t>Thomas Smith</t>
  </si>
  <si>
    <t>ACC000025</t>
  </si>
  <si>
    <t>Thomas Clark</t>
  </si>
  <si>
    <t>ACC000026</t>
  </si>
  <si>
    <t>ACC000027</t>
  </si>
  <si>
    <t>Daniel Hall</t>
  </si>
  <si>
    <t>ACC000028</t>
  </si>
  <si>
    <t>James Taylor</t>
  </si>
  <si>
    <t>ACC000029</t>
  </si>
  <si>
    <t>ACC000030</t>
  </si>
  <si>
    <t>ACC000031</t>
  </si>
  <si>
    <t>John Anderson</t>
  </si>
  <si>
    <t>ACC000032</t>
  </si>
  <si>
    <t>James Harris</t>
  </si>
  <si>
    <t>ACC000033</t>
  </si>
  <si>
    <t>David Anderson</t>
  </si>
  <si>
    <t>ACC000034</t>
  </si>
  <si>
    <t>ACC000035</t>
  </si>
  <si>
    <t>James Smith</t>
  </si>
  <si>
    <t>ACC000036</t>
  </si>
  <si>
    <t>Charles Anderson</t>
  </si>
  <si>
    <t>ACC000037</t>
  </si>
  <si>
    <t>David Smith</t>
  </si>
  <si>
    <t>ACC000038</t>
  </si>
  <si>
    <t>William Smith</t>
  </si>
  <si>
    <t>ACC000039</t>
  </si>
  <si>
    <t>Thomas Anderson</t>
  </si>
  <si>
    <t>ACC000040</t>
  </si>
  <si>
    <t>Thomas Hall</t>
  </si>
  <si>
    <t>ACC000041</t>
  </si>
  <si>
    <t>ACC000042</t>
  </si>
  <si>
    <t>John Walker</t>
  </si>
  <si>
    <t>ACC000043</t>
  </si>
  <si>
    <t>ACC000044</t>
  </si>
  <si>
    <t>James Lewis</t>
  </si>
  <si>
    <t>ACC000045</t>
  </si>
  <si>
    <t>ACC000046</t>
  </si>
  <si>
    <t>ACC000047</t>
  </si>
  <si>
    <t>William Harris</t>
  </si>
  <si>
    <t>ACC000048</t>
  </si>
  <si>
    <t>ACC000049</t>
  </si>
  <si>
    <t>Joseph Hall</t>
  </si>
  <si>
    <t>ACC000050</t>
  </si>
  <si>
    <t>ACC000051</t>
  </si>
  <si>
    <t>Robert Johnson</t>
  </si>
  <si>
    <t>ACC000052</t>
  </si>
  <si>
    <t>Joseph Anderson</t>
  </si>
  <si>
    <t>ACC000053</t>
  </si>
  <si>
    <t>Daniel Harris</t>
  </si>
  <si>
    <t>ACC000054</t>
  </si>
  <si>
    <t>Michael Smith</t>
  </si>
  <si>
    <t>ACC000055</t>
  </si>
  <si>
    <t>ACC000056</t>
  </si>
  <si>
    <t>Michael Johnson</t>
  </si>
  <si>
    <t>ACC000057</t>
  </si>
  <si>
    <t>ACC000058</t>
  </si>
  <si>
    <t>ACC000059</t>
  </si>
  <si>
    <t>ACC000060</t>
  </si>
  <si>
    <t>ACC000061</t>
  </si>
  <si>
    <t>ACC000062</t>
  </si>
  <si>
    <t>Robert Hall</t>
  </si>
  <si>
    <t>ACC000063</t>
  </si>
  <si>
    <t>William Walker</t>
  </si>
  <si>
    <t>ACC000064</t>
  </si>
  <si>
    <t>ACC000065</t>
  </si>
  <si>
    <t>Michael Anderson</t>
  </si>
  <si>
    <t>ACC000066</t>
  </si>
  <si>
    <t>Daniel Lewis</t>
  </si>
  <si>
    <t>ACC000067</t>
  </si>
  <si>
    <t>Charles Clark</t>
  </si>
  <si>
    <t>ACC000068</t>
  </si>
  <si>
    <t>Thomas Lewis</t>
  </si>
  <si>
    <t>ACC000069</t>
  </si>
  <si>
    <t>David Hall</t>
  </si>
  <si>
    <t>ACC000070</t>
  </si>
  <si>
    <t>John Hall</t>
  </si>
  <si>
    <t>ACC000071</t>
  </si>
  <si>
    <t>ACC000072</t>
  </si>
  <si>
    <t>Michael Taylor</t>
  </si>
  <si>
    <t>ACC000073</t>
  </si>
  <si>
    <t>Joseph Clark</t>
  </si>
  <si>
    <t>ACC000074</t>
  </si>
  <si>
    <t>Charles Harris</t>
  </si>
  <si>
    <t>ACC000075</t>
  </si>
  <si>
    <t>ACC000076</t>
  </si>
  <si>
    <t>John Taylor</t>
  </si>
  <si>
    <t>ACC000077</t>
  </si>
  <si>
    <t>ACC000078</t>
  </si>
  <si>
    <t>ACC000079</t>
  </si>
  <si>
    <t>ACC000080</t>
  </si>
  <si>
    <t>James Brown</t>
  </si>
  <si>
    <t>ACC000081</t>
  </si>
  <si>
    <t>David Clark</t>
  </si>
  <si>
    <t>ACC000082</t>
  </si>
  <si>
    <t>Joseph Harris</t>
  </si>
  <si>
    <t>ACC000083</t>
  </si>
  <si>
    <t>Michael Walker</t>
  </si>
  <si>
    <t>ACC000084</t>
  </si>
  <si>
    <t>ACC000085</t>
  </si>
  <si>
    <t>ACC000086</t>
  </si>
  <si>
    <t>Denied</t>
  </si>
  <si>
    <t>ACC000087</t>
  </si>
  <si>
    <t>ACC000088</t>
  </si>
  <si>
    <t>Joseph Lewis</t>
  </si>
  <si>
    <t>ACC000089</t>
  </si>
  <si>
    <t>ACC000090</t>
  </si>
  <si>
    <t>David Harris</t>
  </si>
  <si>
    <t>ACC000091</t>
  </si>
  <si>
    <t>ACC000092</t>
  </si>
  <si>
    <t>ACC000093</t>
  </si>
  <si>
    <t>Joseph Smith</t>
  </si>
  <si>
    <t>ACC000094</t>
  </si>
  <si>
    <t>ACC000095</t>
  </si>
  <si>
    <t>James Clark</t>
  </si>
  <si>
    <t>ACC000096</t>
  </si>
  <si>
    <t>ACC000097</t>
  </si>
  <si>
    <t>ACC000098</t>
  </si>
  <si>
    <t>ACC000099</t>
  </si>
  <si>
    <t>ACC000100</t>
  </si>
  <si>
    <t>James Anderson</t>
  </si>
  <si>
    <t>ACC000101</t>
  </si>
  <si>
    <t>William Hall</t>
  </si>
  <si>
    <t>ACC000102</t>
  </si>
  <si>
    <t>ACC000103</t>
  </si>
  <si>
    <t>David Walker</t>
  </si>
  <si>
    <t>ACC000104</t>
  </si>
  <si>
    <t>ACC000105</t>
  </si>
  <si>
    <t>John Johnson</t>
  </si>
  <si>
    <t>ACC000106</t>
  </si>
  <si>
    <t>ACC000107</t>
  </si>
  <si>
    <t>William Johnson</t>
  </si>
  <si>
    <t>ACC000108</t>
  </si>
  <si>
    <t>ACC000109</t>
  </si>
  <si>
    <t>ACC000110</t>
  </si>
  <si>
    <t>ACC000111</t>
  </si>
  <si>
    <t>ACC000112</t>
  </si>
  <si>
    <t>ACC000113</t>
  </si>
  <si>
    <t>John Lewis</t>
  </si>
  <si>
    <t>ACC000114</t>
  </si>
  <si>
    <t>ACC000115</t>
  </si>
  <si>
    <t>ACC000116</t>
  </si>
  <si>
    <t>Thomas Brown</t>
  </si>
  <si>
    <t>ACC000117</t>
  </si>
  <si>
    <t>ACC000118</t>
  </si>
  <si>
    <t>ACC000119</t>
  </si>
  <si>
    <t>ACC000120</t>
  </si>
  <si>
    <t>ACC000121</t>
  </si>
  <si>
    <t>ACC000122</t>
  </si>
  <si>
    <t>ACC000123</t>
  </si>
  <si>
    <t>Robert Clark</t>
  </si>
  <si>
    <t>ACC000124</t>
  </si>
  <si>
    <t>Thomas Taylor</t>
  </si>
  <si>
    <t>ACC000125</t>
  </si>
  <si>
    <t>ACC000126</t>
  </si>
  <si>
    <t>ACC000127</t>
  </si>
  <si>
    <t>ACC000128</t>
  </si>
  <si>
    <t>Michael Harris</t>
  </si>
  <si>
    <t>ACC000129</t>
  </si>
  <si>
    <t>Charles Lewis</t>
  </si>
  <si>
    <t>ACC000130</t>
  </si>
  <si>
    <t>ACC000131</t>
  </si>
  <si>
    <t>ACC000132</t>
  </si>
  <si>
    <t>ACC000133</t>
  </si>
  <si>
    <t>Charles Johnson</t>
  </si>
  <si>
    <t>ACC000134</t>
  </si>
  <si>
    <t>ACC000135</t>
  </si>
  <si>
    <t>ACC000136</t>
  </si>
  <si>
    <t>ACC000137</t>
  </si>
  <si>
    <t>ACC000138</t>
  </si>
  <si>
    <t>ACC000139</t>
  </si>
  <si>
    <t>ACC000140</t>
  </si>
  <si>
    <t>ACC000141</t>
  </si>
  <si>
    <t>ACC000142</t>
  </si>
  <si>
    <t>Daniel Clark</t>
  </si>
  <si>
    <t>ACC000143</t>
  </si>
  <si>
    <t>ACC000144</t>
  </si>
  <si>
    <t>ACC000145</t>
  </si>
  <si>
    <t>ACC000146</t>
  </si>
  <si>
    <t>ACC000147</t>
  </si>
  <si>
    <t>William Clark</t>
  </si>
  <si>
    <t>ACC000148</t>
  </si>
  <si>
    <t>ACC000149</t>
  </si>
  <si>
    <t>ACC000150</t>
  </si>
  <si>
    <t>ACC000151</t>
  </si>
  <si>
    <t>ACC000152</t>
  </si>
  <si>
    <t>ACC000153</t>
  </si>
  <si>
    <t>ACC000154</t>
  </si>
  <si>
    <t>ACC000155</t>
  </si>
  <si>
    <t>ACC000156</t>
  </si>
  <si>
    <t>Charles Brown</t>
  </si>
  <si>
    <t>ACC000157</t>
  </si>
  <si>
    <t>ACC000158</t>
  </si>
  <si>
    <t>ACC000159</t>
  </si>
  <si>
    <t>ACC000160</t>
  </si>
  <si>
    <t>William Brown</t>
  </si>
  <si>
    <t>ACC000161</t>
  </si>
  <si>
    <t>ACC000162</t>
  </si>
  <si>
    <t>ACC000163</t>
  </si>
  <si>
    <t>Michael Lewis</t>
  </si>
  <si>
    <t>ACC000164</t>
  </si>
  <si>
    <t>Daniel Anderson</t>
  </si>
  <si>
    <t>ACC000165</t>
  </si>
  <si>
    <t>ACC000166</t>
  </si>
  <si>
    <t>ACC000167</t>
  </si>
  <si>
    <t>David Johnson</t>
  </si>
  <si>
    <t>ACC000168</t>
  </si>
  <si>
    <t>ACC000169</t>
  </si>
  <si>
    <t>ACC000170</t>
  </si>
  <si>
    <t>ACC000171</t>
  </si>
  <si>
    <t>ACC000172</t>
  </si>
  <si>
    <t>ACC000173</t>
  </si>
  <si>
    <t>Charles Smith</t>
  </si>
  <si>
    <t>ACC000174</t>
  </si>
  <si>
    <t>ACC000175</t>
  </si>
  <si>
    <t>ACC000176</t>
  </si>
  <si>
    <t>Charles Walker</t>
  </si>
  <si>
    <t>ACC000177</t>
  </si>
  <si>
    <t>ACC000178</t>
  </si>
  <si>
    <t>ACC000179</t>
  </si>
  <si>
    <t>ACC000180</t>
  </si>
  <si>
    <t>ACC000181</t>
  </si>
  <si>
    <t>ACC000182</t>
  </si>
  <si>
    <t>ACC000183</t>
  </si>
  <si>
    <t>Charles Hall</t>
  </si>
  <si>
    <t>ACC000184</t>
  </si>
  <si>
    <t>ACC000185</t>
  </si>
  <si>
    <t>ACC000186</t>
  </si>
  <si>
    <t>ACC000187</t>
  </si>
  <si>
    <t>ACC000188</t>
  </si>
  <si>
    <t>ACC000189</t>
  </si>
  <si>
    <t>ACC000190</t>
  </si>
  <si>
    <t>ACC000191</t>
  </si>
  <si>
    <t>ACC000192</t>
  </si>
  <si>
    <t>ACC000193</t>
  </si>
  <si>
    <t>ACC000194</t>
  </si>
  <si>
    <t>ACC000195</t>
  </si>
  <si>
    <t>Daniel Johnson</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</si>
  <si>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</si>
  <si>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</si>
  <si>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</si>
  <si>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</si>
  <si>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</si>
  <si>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</si>
  <si>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</si>
  <si>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</si>
  <si>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</si>
  <si>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</si>
  <si>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</si>
  <si>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</si>
  <si>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</si>
  <si>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</si>
  <si>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</si>
  <si>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</si>
  <si>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</si>
  <si>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</si>
  <si>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</si>
  <si>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</si>
  <si>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Robert Smith</t>
  </si>
  <si>
    <t>ACC000216</t>
  </si>
  <si>
    <t>ACC000217</t>
  </si>
  <si>
    <t>ACC000218</t>
  </si>
  <si>
    <t>ACC000219</t>
  </si>
  <si>
    <t>ACC000220</t>
  </si>
  <si>
    <t>ACC000221</t>
  </si>
  <si>
    <t>ACC000222</t>
  </si>
  <si>
    <t>ACC000223</t>
  </si>
  <si>
    <t>Joseph Taylor</t>
  </si>
  <si>
    <t>ACC000224</t>
  </si>
  <si>
    <t>ACC000225</t>
  </si>
  <si>
    <t>ACC000226</t>
  </si>
  <si>
    <t>ACC000227</t>
  </si>
  <si>
    <t>ACC000228</t>
  </si>
  <si>
    <t>James Hall</t>
  </si>
  <si>
    <t>ACC000229</t>
  </si>
  <si>
    <t>ACC000230</t>
  </si>
  <si>
    <t>ACC000231</t>
  </si>
  <si>
    <t>ACC000232</t>
  </si>
  <si>
    <t>ACC000233</t>
  </si>
  <si>
    <t>ACC000234</t>
  </si>
  <si>
    <t>ACC000235</t>
  </si>
  <si>
    <t>ACC000236</t>
  </si>
  <si>
    <t>ACC000237</t>
  </si>
  <si>
    <t>ACC000238</t>
  </si>
  <si>
    <t>ACC000239</t>
  </si>
  <si>
    <t>ACC000240</t>
  </si>
  <si>
    <t>ACC000241</t>
  </si>
  <si>
    <t>ACC000242</t>
  </si>
  <si>
    <t>Robert Anderson</t>
  </si>
  <si>
    <t>ACC000243</t>
  </si>
  <si>
    <t>ACC000244</t>
  </si>
  <si>
    <t>ACC000245</t>
  </si>
  <si>
    <t>ACC000246</t>
  </si>
  <si>
    <t>William Anderson</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</si>
  <si>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</si>
  <si>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</si>
  <si>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</si>
  <si>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</si>
  <si>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</si>
  <si>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</si>
  <si>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</si>
  <si>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</si>
  <si>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</si>
  <si>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</si>
  <si>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</si>
  <si>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</si>
  <si>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</si>
  <si>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</si>
  <si>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</si>
  <si>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</si>
  <si>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</si>
  <si>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Robert Brown</t>
  </si>
  <si>
    <t>ACC000264</t>
  </si>
  <si>
    <t>ACC000265</t>
  </si>
  <si>
    <t>ACC000266</t>
  </si>
  <si>
    <t>ACC000267</t>
  </si>
  <si>
    <t>ACC000268</t>
  </si>
  <si>
    <t>ACC000269</t>
  </si>
  <si>
    <t>ACC000270</t>
  </si>
  <si>
    <t>ACC000271</t>
  </si>
  <si>
    <t>Daniel Smith</t>
  </si>
  <si>
    <t>ACC000272</t>
  </si>
  <si>
    <t>ACC000273</t>
  </si>
  <si>
    <t>ACC000274</t>
  </si>
  <si>
    <t>ACC000275</t>
  </si>
  <si>
    <t>ACC000276</t>
  </si>
  <si>
    <t>ACC000277</t>
  </si>
  <si>
    <t>ACC000278</t>
  </si>
  <si>
    <t>ACC000279</t>
  </si>
  <si>
    <t>ACC000280</t>
  </si>
  <si>
    <t>ACC000281</t>
  </si>
  <si>
    <t>ACC000282</t>
  </si>
  <si>
    <t>ACC000283</t>
  </si>
  <si>
    <t>ACC000284</t>
  </si>
  <si>
    <t>ACC000285</t>
  </si>
  <si>
    <t>ACC000286</t>
  </si>
  <si>
    <t>Joseph Walker</t>
  </si>
  <si>
    <t>ACC000287</t>
  </si>
  <si>
    <t>ACC000288</t>
  </si>
  <si>
    <t>ACC000289</t>
  </si>
  <si>
    <t>Michael Hall</t>
  </si>
  <si>
    <t>ACC000290</t>
  </si>
  <si>
    <t>ACC000291</t>
  </si>
  <si>
    <t>ACC000292</t>
  </si>
  <si>
    <t>ACC000293</t>
  </si>
  <si>
    <t>ACC000294</t>
  </si>
  <si>
    <t>ACC000295</t>
  </si>
  <si>
    <t>ACC000296</t>
  </si>
  <si>
    <t>ACC000297</t>
  </si>
  <si>
    <t>ACC000298</t>
  </si>
  <si>
    <t>ACC000299</t>
  </si>
  <si>
    <t>ACC000300</t>
  </si>
  <si>
    <t>ACC000301</t>
  </si>
  <si>
    <t>ACC000302</t>
  </si>
  <si>
    <t>Michael Brown</t>
  </si>
  <si>
    <t>ACC000303</t>
  </si>
  <si>
    <t>ACC000304</t>
  </si>
  <si>
    <t>ACC000305</t>
  </si>
  <si>
    <t>ACC000306</t>
  </si>
  <si>
    <t>ACC000307</t>
  </si>
  <si>
    <t>Robert Taylor</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</si>
  <si>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</si>
  <si>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</si>
  <si>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</si>
  <si>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</si>
  <si>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</si>
  <si>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</si>
  <si>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</si>
  <si>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</si>
  <si>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</si>
  <si>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</si>
  <si>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</si>
  <si>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</si>
  <si>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</si>
  <si>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</si>
  <si>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</si>
  <si>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</si>
  <si>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</si>
  <si>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</si>
  <si>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</si>
  <si>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</si>
  <si>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</si>
  <si>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</si>
  <si>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</si>
  <si>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</si>
  <si>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</si>
  <si>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</si>
  <si>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</si>
  <si>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</si>
  <si>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</si>
  <si>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</si>
  <si>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</si>
  <si>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</si>
  <si>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</si>
  <si>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</si>
  <si>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</si>
  <si>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</si>
  <si>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</si>
  <si>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</si>
  <si>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</si>
  <si>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William Lewis</t>
  </si>
  <si>
    <t>ACC000347</t>
  </si>
  <si>
    <t>ACC000348</t>
  </si>
  <si>
    <t>ACC000349</t>
  </si>
  <si>
    <t>ACC000350</t>
  </si>
  <si>
    <t>Joseph Brown</t>
  </si>
  <si>
    <t>ACC000351</t>
  </si>
  <si>
    <t>ACC000352</t>
  </si>
  <si>
    <t>ACC000353</t>
  </si>
  <si>
    <t>ACC000354</t>
  </si>
  <si>
    <t>ACC000355</t>
  </si>
  <si>
    <t>ACC000356</t>
  </si>
  <si>
    <t>ACC000357</t>
  </si>
  <si>
    <t>ACC000358</t>
  </si>
  <si>
    <t>John Smith</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</si>
  <si>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</si>
  <si>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</si>
  <si>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</si>
  <si>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</si>
  <si>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</si>
  <si>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</si>
  <si>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</si>
  <si>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</si>
  <si>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</si>
  <si>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</si>
  <si>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</si>
  <si>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</si>
  <si>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</si>
  <si>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</si>
  <si>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</si>
  <si>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</si>
  <si>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</si>
  <si>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</si>
  <si>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</si>
  <si>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</si>
  <si>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</si>
  <si>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</si>
  <si>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</si>
  <si>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</si>
  <si>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</si>
  <si>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</si>
  <si>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</si>
  <si>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Thomas Harris</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</si>
  <si>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</si>
  <si>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</si>
  <si>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</si>
  <si>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</si>
  <si>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</si>
  <si>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</si>
  <si>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</si>
  <si>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</si>
  <si>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</si>
  <si>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</si>
  <si>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</si>
  <si>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</si>
  <si>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</si>
  <si>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</si>
  <si>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</si>
  <si>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</si>
  <si>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</si>
  <si>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</si>
  <si>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</si>
  <si>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</si>
  <si>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</si>
  <si>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</si>
  <si>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</si>
  <si>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</si>
  <si>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</si>
  <si>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</si>
  <si>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</si>
  <si>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</si>
  <si>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</si>
  <si>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</si>
  <si>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</si>
  <si>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</si>
  <si>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</si>
  <si>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</si>
  <si>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</si>
  <si>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</si>
  <si>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</si>
  <si>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</si>
  <si>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</si>
  <si>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</si>
  <si>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</si>
  <si>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</si>
  <si>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</si>
  <si>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</si>
  <si>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</si>
  <si>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</si>
  <si>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</si>
  <si>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</si>
  <si>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</si>
  <si>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</si>
  <si>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</si>
  <si>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</si>
  <si>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</si>
  <si>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</si>
  <si>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</si>
  <si>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</si>
  <si>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</si>
  <si>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</si>
  <si>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</si>
  <si>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</si>
  <si>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</si>
  <si>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</si>
  <si>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</si>
  <si>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</si>
  <si>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</si>
  <si>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</si>
  <si>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</si>
  <si>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</si>
  <si>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</si>
  <si>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</si>
  <si>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</si>
  <si>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</si>
  <si>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</si>
  <si>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</si>
  <si>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</si>
  <si>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</si>
  <si>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</si>
  <si>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</si>
  <si>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</si>
  <si>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</si>
  <si>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</si>
  <si>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</si>
  <si>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</si>
  <si>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</si>
  <si>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</si>
  <si>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</si>
  <si>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</si>
  <si>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</si>
  <si>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</si>
  <si>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</si>
  <si>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</si>
  <si>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</si>
  <si>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</si>
  <si>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</si>
  <si>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</si>
  <si>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</si>
  <si>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</si>
  <si>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</si>
  <si>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</si>
  <si>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</si>
  <si>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</si>
  <si>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</si>
  <si>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</si>
  <si>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</si>
  <si>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</si>
  <si>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</si>
  <si>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</si>
  <si>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</si>
  <si>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</si>
  <si>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</si>
  <si>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</si>
  <si>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</si>
  <si>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</si>
  <si>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</si>
  <si>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</si>
  <si>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</si>
  <si>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</si>
  <si>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</si>
  <si>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</si>
  <si>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</si>
  <si>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</si>
  <si>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</si>
  <si>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</si>
  <si>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</si>
  <si>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</si>
  <si>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</si>
  <si>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</si>
  <si>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</si>
  <si>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</si>
  <si>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</si>
  <si>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</si>
  <si>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</si>
  <si>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</si>
  <si>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</si>
  <si>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</si>
  <si>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</si>
  <si>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</si>
  <si>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</si>
  <si>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</si>
  <si>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</si>
  <si>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</si>
  <si>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</si>
  <si>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</si>
  <si>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</si>
  <si>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</si>
  <si>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</si>
  <si>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</si>
  <si>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</si>
  <si>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</si>
  <si>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</si>
  <si>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</si>
  <si>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</si>
  <si>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</si>
  <si>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</si>
  <si>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</si>
  <si>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</si>
  <si>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</si>
  <si>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</si>
  <si>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</si>
  <si>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</si>
  <si>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</si>
  <si>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</si>
  <si>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</si>
  <si>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</si>
  <si>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</si>
  <si>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</si>
  <si>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</si>
  <si>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</si>
  <si>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</si>
  <si>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</si>
  <si>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</si>
  <si>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</si>
  <si>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</si>
  <si>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</si>
  <si>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</si>
  <si>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</si>
  <si>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</si>
  <si>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</si>
  <si>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</si>
  <si>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</si>
  <si>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</si>
  <si>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</si>
  <si>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</si>
  <si>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</si>
  <si>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</si>
  <si>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</si>
  <si>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</si>
  <si>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</si>
  <si>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</si>
  <si>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</si>
  <si>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</si>
  <si>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</si>
  <si>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</si>
  <si>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</si>
  <si>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</si>
  <si>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</si>
  <si>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</si>
  <si>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</si>
  <si>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</si>
  <si>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</si>
  <si>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</si>
  <si>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</si>
  <si>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</si>
  <si>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</si>
  <si>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</si>
  <si>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</si>
  <si>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</si>
  <si>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</si>
  <si>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</si>
  <si>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</si>
  <si>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</si>
  <si>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</si>
  <si>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</si>
  <si>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</si>
  <si>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</si>
  <si>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</si>
  <si>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</si>
  <si>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</si>
  <si>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</si>
  <si>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</si>
  <si>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</si>
  <si>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</si>
  <si>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</si>
  <si>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</si>
  <si>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</si>
  <si>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</si>
  <si>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</si>
  <si>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</si>
  <si>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</si>
  <si>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</si>
  <si>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</si>
  <si>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</si>
  <si>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</si>
  <si>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</si>
  <si>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</si>
  <si>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</si>
  <si>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</si>
  <si>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</si>
  <si>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</si>
  <si>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</si>
  <si>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</si>
  <si>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</si>
  <si>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</si>
  <si>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</si>
  <si>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</si>
  <si>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</si>
  <si>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</si>
  <si>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</si>
  <si>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</si>
  <si>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</si>
  <si>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</si>
  <si>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</si>
  <si>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</si>
  <si>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</si>
  <si>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</si>
  <si>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</si>
  <si>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</si>
  <si>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</si>
  <si>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</si>
  <si>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</si>
  <si>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</si>
  <si>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</si>
  <si>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</si>
  <si>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</si>
  <si>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</si>
  <si>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</si>
  <si>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</si>
  <si>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</si>
  <si>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</si>
  <si>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</si>
  <si>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</si>
  <si>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</si>
  <si>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</si>
  <si>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</si>
  <si>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</si>
  <si>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</si>
  <si>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</si>
  <si>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</si>
  <si>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</si>
  <si>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</si>
  <si>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</si>
  <si>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</si>
  <si>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</si>
  <si>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</si>
  <si>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</si>
  <si>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</si>
  <si>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</si>
  <si>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</si>
  <si>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</si>
  <si>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</si>
  <si>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</si>
  <si>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</si>
  <si>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</si>
  <si>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</si>
  <si>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</si>
  <si>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</si>
  <si>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</si>
  <si>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</si>
  <si>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</si>
  <si>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</si>
  <si>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</si>
  <si>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</si>
  <si>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</si>
  <si>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</si>
  <si>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</si>
  <si>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</si>
  <si>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</si>
  <si>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</si>
  <si>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</si>
  <si>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</si>
  <si>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</si>
  <si>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</si>
  <si>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</si>
  <si>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</si>
  <si>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</si>
  <si>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</si>
  <si>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</si>
  <si>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</si>
  <si>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</si>
  <si>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</si>
  <si>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</si>
  <si>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</si>
  <si>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</si>
  <si>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</si>
  <si>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</si>
  <si>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</si>
  <si>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</si>
  <si>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</si>
  <si>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</si>
  <si>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</si>
  <si>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</si>
  <si>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</si>
  <si>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</si>
  <si>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</si>
  <si>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</si>
  <si>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</si>
  <si>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</si>
  <si>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</si>
  <si>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</si>
  <si>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</si>
  <si>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</si>
  <si>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</si>
  <si>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</si>
  <si>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</si>
  <si>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</si>
  <si>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</si>
  <si>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</si>
  <si>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</si>
  <si>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</si>
  <si>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</si>
  <si>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</si>
  <si>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</si>
  <si>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</si>
  <si>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</si>
  <si>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</si>
  <si>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</si>
  <si>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</si>
  <si>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</si>
  <si>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</si>
  <si>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</si>
  <si>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</si>
  <si>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</si>
  <si>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</si>
  <si>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</si>
  <si>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</si>
  <si>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</si>
  <si>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</si>
  <si>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</si>
  <si>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</si>
  <si>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</si>
  <si>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</si>
  <si>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</si>
  <si>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</si>
  <si>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</si>
  <si>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</si>
  <si>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</si>
  <si>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</si>
  <si>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</si>
  <si>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</si>
  <si>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</si>
  <si>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</si>
  <si>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</si>
  <si>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</si>
  <si>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</si>
  <si>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</si>
  <si>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</si>
  <si>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</si>
  <si>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</si>
  <si>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</si>
  <si>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</si>
  <si>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</si>
  <si>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</si>
  <si>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</si>
  <si>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</si>
  <si>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</si>
  <si>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</si>
  <si>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</si>
  <si>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</si>
  <si>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</si>
  <si>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</si>
  <si>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</si>
  <si>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</si>
  <si>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</si>
  <si>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</si>
  <si>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</si>
  <si>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</si>
  <si>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</si>
  <si>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</si>
  <si>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</si>
  <si>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</si>
  <si>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</si>
  <si>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</si>
  <si>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</si>
  <si>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</si>
  <si>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</si>
  <si>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</si>
  <si>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</si>
  <si>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</si>
  <si>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</si>
  <si>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</si>
  <si>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</si>
  <si>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</si>
  <si>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</si>
  <si>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</si>
  <si>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</si>
  <si>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</si>
  <si>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</si>
  <si>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</si>
  <si>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</si>
  <si>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</si>
  <si>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</si>
  <si>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</si>
  <si>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</si>
  <si>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</si>
  <si>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</si>
  <si>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</si>
  <si>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</si>
  <si>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William Taylor</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</si>
  <si>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</si>
  <si>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</si>
  <si>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</si>
  <si>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</si>
  <si>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</si>
  <si>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</si>
  <si>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</si>
  <si>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</si>
  <si>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</si>
  <si>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</si>
  <si>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</si>
  <si>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</si>
  <si>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</si>
  <si>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</si>
  <si>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</si>
  <si>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</si>
  <si>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</si>
  <si>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</si>
  <si>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</si>
  <si>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</si>
  <si>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</si>
  <si>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</si>
  <si>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</si>
  <si>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</si>
  <si>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</si>
  <si>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</si>
  <si>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</si>
  <si>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</si>
  <si>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</si>
  <si>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</si>
  <si>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</si>
  <si>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</si>
  <si>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</si>
  <si>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</si>
  <si>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</si>
  <si>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</si>
  <si>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</si>
  <si>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</si>
  <si>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</si>
  <si>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</si>
  <si>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</si>
  <si>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</si>
  <si>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</si>
  <si>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</si>
  <si>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</si>
  <si>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</si>
  <si>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</si>
  <si>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</si>
  <si>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</si>
  <si>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</si>
  <si>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</si>
  <si>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</si>
  <si>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</si>
  <si>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</si>
  <si>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</si>
  <si>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</si>
  <si>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</si>
  <si>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</si>
  <si>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</si>
  <si>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</si>
  <si>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</si>
  <si>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</si>
  <si>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</si>
  <si>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</si>
  <si>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</si>
  <si>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</si>
  <si>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</si>
  <si>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</si>
  <si>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</si>
  <si>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</si>
  <si>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</si>
  <si>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</si>
  <si>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</si>
  <si>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</si>
  <si>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</si>
  <si>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</si>
  <si>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</si>
  <si>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</si>
  <si>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</si>
  <si>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</si>
  <si>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</si>
  <si>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</si>
  <si>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</si>
  <si>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</si>
  <si>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</si>
  <si>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</si>
  <si>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</si>
  <si>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</si>
  <si>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</si>
  <si>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</si>
  <si>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</si>
  <si>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</si>
  <si>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</si>
  <si>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</si>
  <si>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</si>
  <si>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</si>
  <si>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</si>
  <si>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</si>
  <si>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</si>
  <si>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</si>
  <si>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</si>
  <si>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</si>
  <si>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</si>
  <si>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</si>
  <si>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</si>
  <si>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</si>
  <si>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</si>
  <si>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</si>
  <si>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</si>
  <si>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</si>
  <si>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</si>
  <si>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</si>
  <si>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</si>
  <si>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</si>
  <si>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</si>
  <si>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</si>
  <si>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</si>
  <si>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</si>
  <si>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</si>
  <si>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</si>
  <si>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</si>
  <si>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</si>
  <si>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</si>
  <si>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</si>
  <si>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</si>
  <si>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</si>
  <si>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</si>
  <si>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</si>
  <si>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</si>
  <si>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</si>
  <si>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</si>
  <si>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</si>
  <si>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</si>
  <si>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</si>
  <si>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</si>
  <si>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</si>
  <si>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</si>
  <si>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</si>
  <si>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</si>
  <si>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</si>
  <si>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</si>
  <si>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</si>
  <si>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</si>
  <si>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</si>
  <si>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</si>
  <si>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</si>
  <si>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</si>
  <si>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</si>
  <si>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</si>
  <si>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</si>
  <si>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</si>
  <si>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</si>
  <si>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</si>
  <si>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</si>
  <si>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</si>
  <si>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</si>
  <si>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</si>
  <si>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</si>
  <si>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</si>
  <si>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</si>
  <si>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</si>
  <si>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</si>
  <si>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</si>
  <si>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</si>
  <si>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</si>
  <si>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</si>
  <si>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</si>
  <si>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</si>
  <si>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</si>
  <si>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</si>
  <si>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</si>
  <si>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</si>
  <si>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</si>
  <si>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</si>
  <si>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</si>
  <si>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</si>
  <si>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</si>
  <si>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</si>
  <si>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Row Labels</t>
  </si>
  <si>
    <t>Grand Total</t>
  </si>
  <si>
    <t>Sum of Paid Amount</t>
  </si>
  <si>
    <t>2023</t>
  </si>
  <si>
    <t>2024</t>
  </si>
  <si>
    <t>Count of Account No</t>
  </si>
  <si>
    <t>Sum of Adjustment Amount</t>
  </si>
  <si>
    <t xml:space="preserve">  </t>
  </si>
  <si>
    <t>Net Paid Amount</t>
  </si>
  <si>
    <t>Total Adjustments</t>
  </si>
  <si>
    <t>Claims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</si>
</sst>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1" fillId="0" borderId="0" xfId="0" applyFont="1" applyAlignment="1">
      <alignment horizontal="center"/>
    </xf>
    <xf numFmtId="0" fontId="1" fillId="0" borderId="0" xfId="0" applyFont="1" applyAlignment="1">
      <alignment horizontal="right"/>
    </xf>
    <xf numFmtId="0" fontId="2" fillId="0" borderId="0" xfId="0" applyFont="1" applyAlignment="1">
      <alignment horizontal="left"/>
    </xf>
  </cellXfs>
  <cellStyles count="1">
    <cellStyle name="Normal" xfId="0" builtinId="0"/>
  </cellStyles>
  <dxfs count="2">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CC0000"/>
      <color rgb="FFC731A7"/>
      <color rgb="FFF64E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Pivot!$A$13:$A$15</c:f>
              <c:strCache>
                <c:ptCount val="2"/>
                <c:pt idx="0">
                  <c:v>2023</c:v>
                </c:pt>
                <c:pt idx="1">
                  <c:v>2024</c:v>
                </c:pt>
              </c:strCache>
            </c:strRef>
          </c:cat>
          <c:val>
            <c:numRef>
              <c:f>Pivot!$B$13:$B$15</c:f>
              <c:numCache>
                <c:formatCode>General</c:formatCode>
                <c:ptCount val="2"/>
                <c:pt idx="0">
                  <c:v>165815</c:v>
                </c:pt>
                <c:pt idx="1">
                  <c:v>102666</c:v>
                </c:pt>
              </c:numCache>
            </c:numRef>
          </c:val>
          <c:smooth val="0"/>
          <c:extLst>
            <c:ext xmlns:c16="http://schemas.microsoft.com/office/drawing/2014/chart" uri="{C3380CC4-5D6E-409C-BE32-E72D297353CC}">
              <c16:uniqueId val="{00000000-D231-48E1-8653-D412D3D6757C}"/>
            </c:ext>
          </c:extLst>
        </c:ser>
        <c:dLbls>
          <c:showLegendKey val="0"/>
          <c:showVal val="0"/>
          <c:showCatName val="0"/>
          <c:showSerName val="0"/>
          <c:showPercent val="0"/>
          <c:showBubbleSize val="0"/>
        </c:dLbls>
        <c:marker val="1"/>
        <c:smooth val="0"/>
        <c:axId val="1496574544"/>
        <c:axId val="1496575376"/>
      </c:lineChart>
      <c:catAx>
        <c:axId val="149657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575376"/>
        <c:crosses val="autoZero"/>
        <c:auto val="1"/>
        <c:lblAlgn val="ctr"/>
        <c:lblOffset val="100"/>
        <c:noMultiLvlLbl val="0"/>
      </c:catAx>
      <c:valAx>
        <c:axId val="149657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57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cat>
            <c:strRef>
              <c:f>Pivot!$A$3:$A$9</c:f>
              <c:strCache>
                <c:ptCount val="6"/>
                <c:pt idx="0">
                  <c:v>Aetna</c:v>
                </c:pt>
                <c:pt idx="1">
                  <c:v>Blue Cross</c:v>
                </c:pt>
                <c:pt idx="2">
                  <c:v>Cigna</c:v>
                </c:pt>
                <c:pt idx="3">
                  <c:v>Medicaid</c:v>
                </c:pt>
                <c:pt idx="4">
                  <c:v>Medicare</c:v>
                </c:pt>
                <c:pt idx="5">
                  <c:v>United Health</c:v>
                </c:pt>
              </c:strCache>
            </c:strRef>
          </c:cat>
          <c:val>
            <c:numRef>
              <c:f>Pivot!$B$3:$B$9</c:f>
              <c:numCache>
                <c:formatCode>General</c:formatCode>
                <c:ptCount val="6"/>
                <c:pt idx="0">
                  <c:v>45171</c:v>
                </c:pt>
                <c:pt idx="1">
                  <c:v>46062</c:v>
                </c:pt>
                <c:pt idx="2">
                  <c:v>44303</c:v>
                </c:pt>
                <c:pt idx="3">
                  <c:v>40147</c:v>
                </c:pt>
                <c:pt idx="4">
                  <c:v>48717</c:v>
                </c:pt>
                <c:pt idx="5">
                  <c:v>44081</c:v>
                </c:pt>
              </c:numCache>
            </c:numRef>
          </c:val>
          <c:extLst>
            <c:ext xmlns:c16="http://schemas.microsoft.com/office/drawing/2014/chart" uri="{C3380CC4-5D6E-409C-BE32-E72D297353CC}">
              <c16:uniqueId val="{00000000-EF37-486B-89CF-A67589AA1803}"/>
            </c:ext>
          </c:extLst>
        </c:ser>
        <c:dLbls>
          <c:showLegendKey val="0"/>
          <c:showVal val="0"/>
          <c:showCatName val="0"/>
          <c:showSerName val="0"/>
          <c:showPercent val="0"/>
          <c:showBubbleSize val="0"/>
        </c:dLbls>
        <c:gapWidth val="219"/>
        <c:overlap val="-27"/>
        <c:axId val="1490294512"/>
        <c:axId val="1490296176"/>
      </c:barChart>
      <c:catAx>
        <c:axId val="149029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296176"/>
        <c:crosses val="autoZero"/>
        <c:auto val="1"/>
        <c:lblAlgn val="ctr"/>
        <c:lblOffset val="100"/>
        <c:noMultiLvlLbl val="0"/>
      </c:catAx>
      <c:valAx>
        <c:axId val="149029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29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[Healthcare_Dashboard.xlsx]Pivot!PivotTable14</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Pivot!$A$17</c:f>
              <c:strCache>
                <c:ptCount val="1"/>
                <c:pt idx="0">
                  <c:v>Sum of Adjustment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19-4B53-A99D-E3B4206B1542}"/>
              </c:ext>
            </c:extLst>
          </c:dPt>
          <c:cat>
            <c:strRef>
              <c:f>Pivot!$A$18</c:f>
              <c:strCache>
                <c:ptCount val="1"/>
                <c:pt idx="0">
                  <c:v>Total</c:v>
                </c:pt>
              </c:strCache>
            </c:strRef>
          </c:cat>
          <c:val>
            <c:numRef>
              <c:f>Pivot!$A$18</c:f>
              <c:numCache>
                <c:formatCode>General</c:formatCode>
                <c:ptCount val="1"/>
                <c:pt idx="0">
                  <c:v>276546</c:v>
                </c:pt>
              </c:numCache>
            </c:numRef>
          </c:val>
          <c:extLst>
            <c:ext xmlns:c16="http://schemas.microsoft.com/office/drawing/2014/chart" uri="{C3380CC4-5D6E-409C-BE32-E72D297353CC}">
              <c16:uniqueId val="{00000000-F5D3-4D86-8F6A-4C93E8B91F3A}"/>
            </c:ext>
          </c:extLst>
        </c:ser>
        <c:ser>
          <c:idx val="1"/>
          <c:order val="1"/>
          <c:tx>
            <c:strRef>
              <c:f>Pivot!$B$17</c:f>
              <c:strCache>
                <c:ptCount val="1"/>
                <c:pt idx="0">
                  <c:v>Sum of Paid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119-4B53-A99D-E3B4206B1542}"/>
              </c:ext>
            </c:extLst>
          </c:dPt>
          <c:cat>
            <c:strRef>
              <c:f>Pivot!$A$18</c:f>
              <c:strCache>
                <c:ptCount val="1"/>
                <c:pt idx="0">
                  <c:v>Total</c:v>
                </c:pt>
              </c:strCache>
            </c:strRef>
          </c:cat>
          <c:val>
            <c:numRef>
              <c:f>Pivot!$B$18</c:f>
              <c:numCache>
                <c:formatCode>General</c:formatCode>
                <c:ptCount val="1"/>
                <c:pt idx="0">
                  <c:v>268481</c:v>
                </c:pt>
              </c:numCache>
            </c:numRef>
          </c:val>
          <c:extLst>
            <c:ext xmlns:c16="http://schemas.microsoft.com/office/drawing/2014/chart" uri="{C3380CC4-5D6E-409C-BE32-E72D297353CC}">
              <c16:uniqueId val="{00000001-F5D3-4D86-8F6A-4C93E8B91F3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[Healthcare_Dashboard.xlsx]Pivot!PivotTable16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Pivot!$A$21:$A$23</c:f>
              <c:strCache>
                <c:ptCount val="2"/>
                <c:pt idx="0">
                  <c:v>Denied</c:v>
                </c:pt>
                <c:pt idx="1">
                  <c:v>Paid</c:v>
                </c:pt>
              </c:strCache>
            </c:strRef>
          </c:cat>
          <c:val>
            <c:numRef>
              <c:f>Pivot!$B$21:$B$23</c:f>
              <c:numCache>
                <c:formatCode>General</c:formatCode>
                <c:ptCount val="2"/>
                <c:pt idx="0">
                  <c:v>1</c:v>
                </c:pt>
                <c:pt idx="1">
                  <c:v>999</c:v>
                </c:pt>
              </c:numCache>
            </c:numRef>
          </c:val>
          <c:extLst>
            <c:ext xmlns:c16="http://schemas.microsoft.com/office/drawing/2014/chart" uri="{C3380CC4-5D6E-409C-BE32-E72D297353CC}">
              <c16:uniqueId val="{00000000-E958-4F90-B741-C852FD7EFE7B}"/>
            </c:ext>
          </c:extLst>
        </c:ser>
        <c:dLbls>
          <c:showLegendKey val="0"/>
          <c:showVal val="0"/>
          <c:showCatName val="0"/>
          <c:showSerName val="0"/>
          <c:showPercent val="0"/>
          <c:showBubbleSize val="0"/>
        </c:dLbls>
        <c:gapWidth val="182"/>
        <c:axId val="1991829216"/>
        <c:axId val="1991820896"/>
      </c:barChart>
      <c:catAx>
        <c:axId val="199182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820896"/>
        <c:crosses val="autoZero"/>
        <c:auto val="1"/>
        <c:lblAlgn val="ctr"/>
        <c:lblOffset val="100"/>
        <c:noMultiLvlLbl val="0"/>
      </c:catAx>
      <c:valAx>
        <c:axId val="199182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82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[Healthcare_Dashboard.xlsx]Pivot!PivotTable11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Year-wise Total Paid Amount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F64E1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F64E1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415-4F7B-AF2D-A389C2BEA0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Pivot!$A$13:$A$15</c:f>
              <c:strCache>
                <c:ptCount val="2"/>
                <c:pt idx="0">
                  <c:v>2023</c:v>
                </c:pt>
                <c:pt idx="1">
                  <c:v>2024</c:v>
                </c:pt>
              </c:strCache>
            </c:strRef>
          </c:cat>
          <c:val>
            <c:numRef>
              <c:f>Pivot!$B$13:$B$15</c:f>
              <c:numCache>
                <c:formatCode>General</c:formatCode>
                <c:ptCount val="2"/>
                <c:pt idx="0">
                  <c:v>165815</c:v>
                </c:pt>
                <c:pt idx="1">
                  <c:v>102666</c:v>
                </c:pt>
              </c:numCache>
            </c:numRef>
          </c:val>
          <c:smooth val="0"/>
          <c:extLst>
            <c:ext xmlns:c16="http://schemas.microsoft.com/office/drawing/2014/chart" uri="{C3380CC4-5D6E-409C-BE32-E72D297353CC}">
              <c16:uniqueId val="{00000000-0415-4F7B-AF2D-A389C2BEA0DE}"/>
            </c:ext>
          </c:extLst>
        </c:ser>
        <c:dLbls>
          <c:dLblPos val="t"/>
          <c:showLegendKey val="0"/>
          <c:showVal val="1"/>
          <c:showCatName val="0"/>
          <c:showSerName val="0"/>
          <c:showPercent val="0"/>
          <c:showBubbleSize val="0"/>
        </c:dLbls>
        <c:marker val="1"/>
        <c:smooth val="0"/>
        <c:axId val="1496574544"/>
        <c:axId val="1496575376"/>
      </c:lineChart>
      <c:catAx>
        <c:axId val="1496574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575376"/>
        <c:crosses val="autoZero"/>
        <c:auto val="1"/>
        <c:lblAlgn val="ctr"/>
        <c:lblOffset val="100"/>
        <c:noMultiLvlLbl val="0"/>
      </c:catAx>
      <c:valAx>
        <c:axId val="149657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57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[Healthcare_Dashboard.xlsx]Pivot!PivotTable13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Paid Amount by Insurance Provider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6"/>
        <c:spPr>
          <a:solidFill>
            <a:srgbClr val="FF0000"/>
          </a:solidFill>
          <a:ln>
            <a:noFill/>
          </a:ln>
          <a:effectLst>
            <a:outerShdw blurRad="57150" dist="19050" dir="5400000" algn="ctr" rotWithShape="0">
              <a:srgbClr val="000000">
                <a:alpha val="63000"/>
              </a:srgbClr>
            </a:outerShdw>
          </a:effectLst>
        </c:spPr>
      </c:pivotFmt>
      <c:pivotFmt>
        <c:idx val="7"/>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tx1">
              <a:lumMod val="65000"/>
              <a:lumOff val="3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1D4-43F6-BE8B-8997B956D496}"/>
              </c:ext>
            </c:extLst>
          </c:dPt>
          <c:dPt>
            <c:idx val="1"/>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1D4-43F6-BE8B-8997B956D496}"/>
              </c:ext>
            </c:extLst>
          </c:dPt>
          <c:dPt>
            <c:idx val="2"/>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1D4-43F6-BE8B-8997B956D496}"/>
              </c:ext>
            </c:extLst>
          </c:dPt>
          <c:dPt>
            <c:idx val="3"/>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1D4-43F6-BE8B-8997B956D496}"/>
              </c:ext>
            </c:extLst>
          </c:dPt>
          <c:dPt>
            <c:idx val="4"/>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1D4-43F6-BE8B-8997B956D496}"/>
              </c:ext>
            </c:extLst>
          </c:dPt>
          <c:dPt>
            <c:idx val="5"/>
            <c:invertIfNegative val="0"/>
            <c:bubble3D val="0"/>
            <c:spPr>
              <a:solidFill>
                <a:schemeClr val="tx1">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1D4-43F6-BE8B-8997B956D4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Pivot!$A$3:$A$9</c:f>
              <c:strCache>
                <c:ptCount val="6"/>
                <c:pt idx="0">
                  <c:v>Aetna</c:v>
                </c:pt>
                <c:pt idx="1">
                  <c:v>Blue Cross</c:v>
                </c:pt>
                <c:pt idx="2">
                  <c:v>Cigna</c:v>
                </c:pt>
                <c:pt idx="3">
                  <c:v>Medicaid</c:v>
                </c:pt>
                <c:pt idx="4">
                  <c:v>Medicare</c:v>
                </c:pt>
                <c:pt idx="5">
                  <c:v>United Health</c:v>
                </c:pt>
              </c:strCache>
            </c:strRef>
          </c:cat>
          <c:val>
            <c:numRef>
              <c:f>Pivot!$B$3:$B$9</c:f>
              <c:numCache>
                <c:formatCode>General</c:formatCode>
                <c:ptCount val="6"/>
                <c:pt idx="0">
                  <c:v>45171</c:v>
                </c:pt>
                <c:pt idx="1">
                  <c:v>46062</c:v>
                </c:pt>
                <c:pt idx="2">
                  <c:v>44303</c:v>
                </c:pt>
                <c:pt idx="3">
                  <c:v>40147</c:v>
                </c:pt>
                <c:pt idx="4">
                  <c:v>48717</c:v>
                </c:pt>
                <c:pt idx="5">
                  <c:v>44081</c:v>
                </c:pt>
              </c:numCache>
            </c:numRef>
          </c:val>
          <c:extLst>
            <c:ext xmlns:c16="http://schemas.microsoft.com/office/drawing/2014/chart" uri="{C3380CC4-5D6E-409C-BE32-E72D297353CC}">
              <c16:uniqueId val="{00000000-C1D4-43F6-BE8B-8997B956D496}"/>
            </c:ext>
          </c:extLst>
        </c:ser>
        <c:dLbls>
          <c:showLegendKey val="0"/>
          <c:showVal val="0"/>
          <c:showCatName val="0"/>
          <c:showSerName val="0"/>
          <c:showPercent val="0"/>
          <c:showBubbleSize val="0"/>
        </c:dLbls>
        <c:gapWidth val="100"/>
        <c:overlap val="-24"/>
        <c:axId val="1490294512"/>
        <c:axId val="1490296176"/>
      </c:barChart>
      <c:catAx>
        <c:axId val="149029451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296176"/>
        <c:crosses val="autoZero"/>
        <c:auto val="1"/>
        <c:lblAlgn val="ctr"/>
        <c:lblOffset val="100"/>
        <c:noMultiLvlLbl val="0"/>
      </c:catAx>
      <c:valAx>
        <c:axId val="14902961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29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[Healthcare_Dashboard.xlsx]Pivot!PivotTable14</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Chart Paid vs Adjusted Amount Distribution</a:t>
            </a:r>
          </a:p>
        </c:rich>
      </c:tx>
      <c:overlay val="0"/>
      <c:spPr>
        <a:noFill/>
        <a:ln>
          <a:noFill/>
        </a:ln>
        <a:effectLst>
          <a:innerShdw blurRad="63500" dist="50800" dir="8100000">
            <a:prstClr val="black">
              <a:alpha val="50000"/>
            </a:prstClr>
          </a:innerShdw>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spPr>
          <a:solidFill>
            <a:srgbClr val="00B05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317500" algn="ctr" rotWithShape="0">
              <a:prstClr val="black">
                <a:alpha val="25000"/>
              </a:prstClr>
            </a:outerShdw>
          </a:effectLst>
        </c:spPr>
        <c:dLbl>
          <c:idx val="0"/>
          <c:layout>
            <c:manualLayout>
              <c:x val="-0.16438351992398312"/>
              <c:y val="6.01746486258542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317500" algn="ctr" rotWithShape="0">
              <a:prstClr val="black">
                <a:alpha val="25000"/>
              </a:prstClr>
            </a:outerShdw>
          </a:effectLst>
        </c:spPr>
        <c:dLbl>
          <c:idx val="0"/>
          <c:layout>
            <c:manualLayout>
              <c:x val="0.16438351992398309"/>
              <c:y val="3.51018783650815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Pivot!$A$17</c:f>
              <c:strCache>
                <c:ptCount val="1"/>
                <c:pt idx="0">
                  <c:v>Sum of Adjustment Amount</c:v>
                </c:pt>
              </c:strCache>
            </c:strRef>
          </c:tx>
          <c:spPr>
            <a:solidFill>
              <a:srgbClr val="00B050"/>
            </a:solidFill>
          </c:spPr>
          <c:dPt>
            <c:idx val="0"/>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B59-44F9-8097-C0008B2DB767}"/>
              </c:ext>
            </c:extLst>
          </c:dPt>
          <c:dLbls>
            <c:dLbl>
              <c:idx val="0"/>
              <c:layout>
                <c:manualLayout>
                  <c:x val="-0.16438351992398312"/>
                  <c:y val="6.01746486258542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59-44F9-8097-C0008B2DB7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Pivot!$A$18</c:f>
              <c:strCache>
                <c:ptCount val="1"/>
                <c:pt idx="0">
                  <c:v>Total</c:v>
                </c:pt>
              </c:strCache>
            </c:strRef>
          </c:cat>
          <c:val>
            <c:numRef>
              <c:f>Pivot!$A$18</c:f>
              <c:numCache>
                <c:formatCode>General</c:formatCode>
                <c:ptCount val="1"/>
                <c:pt idx="0">
                  <c:v>276546</c:v>
                </c:pt>
              </c:numCache>
            </c:numRef>
          </c:val>
          <c:extLst>
            <c:ext xmlns:c16="http://schemas.microsoft.com/office/drawing/2014/chart" uri="{C3380CC4-5D6E-409C-BE32-E72D297353CC}">
              <c16:uniqueId val="{00000002-CB59-44F9-8097-C0008B2DB767}"/>
            </c:ext>
          </c:extLst>
        </c:ser>
        <c:ser>
          <c:idx val="1"/>
          <c:order val="1"/>
          <c:tx>
            <c:strRef>
              <c:f>Pivot!$B$17</c:f>
              <c:strCache>
                <c:ptCount val="1"/>
                <c:pt idx="0">
                  <c:v>Sum of Paid Amount</c:v>
                </c:pt>
              </c:strCache>
            </c:strRef>
          </c:tx>
          <c:spPr>
            <a:solidFill>
              <a:schemeClr val="accent2"/>
            </a:solidFill>
          </c:spPr>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CB59-44F9-8097-C0008B2DB767}"/>
              </c:ext>
            </c:extLst>
          </c:dPt>
          <c:dLbls>
            <c:dLbl>
              <c:idx val="0"/>
              <c:layout>
                <c:manualLayout>
                  <c:x val="0.16438351992398309"/>
                  <c:y val="3.51018783650815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B59-44F9-8097-C0008B2DB7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Pivot!$A$18</c:f>
              <c:strCache>
                <c:ptCount val="1"/>
                <c:pt idx="0">
                  <c:v>Total</c:v>
                </c:pt>
              </c:strCache>
            </c:strRef>
          </c:cat>
          <c:val>
            <c:numRef>
              <c:f>Pivot!$B$18</c:f>
              <c:numCache>
                <c:formatCode>General</c:formatCode>
                <c:ptCount val="1"/>
                <c:pt idx="0">
                  <c:v>268481</c:v>
                </c:pt>
              </c:numCache>
            </c:numRef>
          </c:val>
          <c:extLst>
            <c:ext xmlns:c16="http://schemas.microsoft.com/office/drawing/2014/chart" uri="{C3380CC4-5D6E-409C-BE32-E72D297353CC}">
              <c16:uniqueId val="{00000005-CB59-44F9-8097-C0008B2DB76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[Healthcare_Dashboard.xlsx]Pivot!PivotTable16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Claims Status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outerShdw blurRad="57150" dist="19050" dir="5400000" algn="ctr" rotWithShape="0">
              <a:srgbClr val="000000">
                <a:alpha val="63000"/>
              </a:srgbClr>
            </a:outerShdw>
          </a:effectLst>
        </c:spPr>
      </c:pivotFmt>
      <c:pivotFmt>
        <c:idx val="4"/>
        <c:spPr>
          <a:solidFill>
            <a:srgbClr val="C731A7"/>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Pivot!$B$20</c:f>
              <c:strCache>
                <c:ptCount val="1"/>
                <c:pt idx="0">
                  <c:v>Total</c:v>
                </c:pt>
              </c:strCache>
            </c:strRef>
          </c:tx>
          <c:spPr>
            <a:solidFill>
              <a:schemeClr val="accent3">
                <a:lumMod val="75000"/>
              </a:schemeClr>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C731A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E2-4C34-B22A-D5373AE662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Pivot!$A$21:$A$23</c:f>
              <c:strCache>
                <c:ptCount val="2"/>
                <c:pt idx="0">
                  <c:v>Denied</c:v>
                </c:pt>
                <c:pt idx="1">
                  <c:v>Paid</c:v>
                </c:pt>
              </c:strCache>
            </c:strRef>
          </c:cat>
          <c:val>
            <c:numRef>
              <c:f>Pivot!$B$21:$B$23</c:f>
              <c:numCache>
                <c:formatCode>General</c:formatCode>
                <c:ptCount val="2"/>
                <c:pt idx="0">
                  <c:v>1</c:v>
                </c:pt>
                <c:pt idx="1">
                  <c:v>999</c:v>
                </c:pt>
              </c:numCache>
            </c:numRef>
          </c:val>
          <c:extLst>
            <c:ext xmlns:c16="http://schemas.microsoft.com/office/drawing/2014/chart" uri="{C3380CC4-5D6E-409C-BE32-E72D297353CC}">
              <c16:uniqueId val="{00000000-76E2-4C34-B22A-D5373AE66200}"/>
            </c:ext>
          </c:extLst>
        </c:ser>
        <c:dLbls>
          <c:showLegendKey val="0"/>
          <c:showVal val="0"/>
          <c:showCatName val="0"/>
          <c:showSerName val="0"/>
          <c:showPercent val="0"/>
          <c:showBubbleSize val="0"/>
        </c:dLbls>
        <c:gapWidth val="115"/>
        <c:overlap val="-20"/>
        <c:axId val="1991829216"/>
        <c:axId val="1991820896"/>
      </c:barChart>
      <c:catAx>
        <c:axId val="199182921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1820896"/>
        <c:crosses val="autoZero"/>
        <c:auto val="1"/>
        <c:lblAlgn val="ctr"/>
        <c:lblOffset val="100"/>
        <c:noMultiLvlLbl val="0"/>
      </c:catAx>
      <c:valAx>
        <c:axId val="1991820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182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38100" dir="2700000">
        <a:prstClr val="black">
          <a:alpha val="50000"/>
        </a:prstClr>
      </a:innerShdw>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xdr:row>
      <xdr:rowOff>50801</xdr:rowOff>
    </xdr:from>
    <xdr:to>
      <xdr:col>4</xdr:col>
      <xdr:colOff>76200</xdr:colOff>
      <xdr:row>17</xdr:row>
      <xdr:rowOff>114301</xdr:rowOff>
    </xdr:to>
    <mc:AlternateContent xmlns:mc="http://schemas.openxmlformats.org/markup-compatibility/2006" xmlns:a14="http://schemas.microsoft.com/office/drawing/2010/main">
      <mc:Choice Requires="a14">
        <xdr:graphicFrame macro="">
          <xdr:nvGraphicFramePr>
            <xdr:cNvPr id="2" name="Denial Status">
              <a:extLst>
                <a:ext uri="{FF2B5EF4-FFF2-40B4-BE49-F238E27FC236}">
                  <a16:creationId xmlns:a16="http://schemas.microsoft.com/office/drawing/2014/main" id="{13B4E8ED-9213-17B3-3E7C-74F1EC4F392A}"/>
                </a:ext>
              </a:extLst>
            </xdr:cNvPr>
            <xdr:cNvGraphicFramePr/>
          </xdr:nvGraphicFramePr>
          <xdr:xfrm>
            <a:off x="0" y="0"/>
            <a:ext cx="0" cy="0"/>
          </xdr:xfrm>
          <a:graphic>
            <a:graphicData uri="http://schemas.microsoft.com/office/drawing/2010/slicer">
              <sle:slicer xmlns:sle="http://schemas.microsoft.com/office/drawing/2010/slicer" name="Denial Status"/>
            </a:graphicData>
          </a:graphic>
        </xdr:graphicFrame>
      </mc:Choice>
      <mc:Fallback xmlns="">
        <xdr:sp macro="" textlink="">
          <xdr:nvSpPr>
            <xdr:cNvPr id="0" name=""/>
            <xdr:cNvSpPr>
              <a:spLocks noTextEdit="1"/>
            </xdr:cNvSpPr>
          </xdr:nvSpPr>
          <xdr:spPr>
            <a:xfrm>
              <a:off x="2273300" y="2260601"/>
              <a:ext cx="1828800" cy="9842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127000</xdr:colOff>
      <xdr:row>0</xdr:row>
      <xdr:rowOff>171451</xdr:rowOff>
    </xdr:from>
    <xdr:to>
      <xdr:col>4</xdr:col>
      <xdr:colOff>76200</xdr:colOff>
      <xdr:row>12</xdr:row>
      <xdr:rowOff>1</xdr:rowOff>
    </xdr:to>
    <mc:AlternateContent xmlns:mc="http://schemas.openxmlformats.org/markup-compatibility/2006" xmlns:a14="http://schemas.microsoft.com/office/drawing/2010/main">
      <mc:Choice Requires="a14">
        <xdr:graphicFrame macro="">
          <xdr:nvGraphicFramePr>
            <xdr:cNvPr id="3" name="Insurance Name">
              <a:extLst>
                <a:ext uri="{FF2B5EF4-FFF2-40B4-BE49-F238E27FC236}">
                  <a16:creationId xmlns:a16="http://schemas.microsoft.com/office/drawing/2014/main" id="{674DDF5D-98C7-A1E9-0487-764EC1974487}"/>
                </a:ext>
              </a:extLst>
            </xdr:cNvPr>
            <xdr:cNvGraphicFramePr/>
          </xdr:nvGraphicFramePr>
          <xdr:xfrm>
            <a:off x="0" y="0"/>
            <a:ext cx="0" cy="0"/>
          </xdr:xfrm>
          <a:graphic>
            <a:graphicData uri="http://schemas.microsoft.com/office/drawing/2010/slicer">
              <sle:slicer xmlns:sle="http://schemas.microsoft.com/office/drawing/2010/slicer" name="Insurance Name"/>
            </a:graphicData>
          </a:graphic>
        </xdr:graphicFrame>
      </mc:Choice>
      <mc:Fallback xmlns="">
        <xdr:sp macro="" textlink="">
          <xdr:nvSpPr>
            <xdr:cNvPr id="0" name=""/>
            <xdr:cNvSpPr>
              <a:spLocks noTextEdit="1"/>
            </xdr:cNvSpPr>
          </xdr:nvSpPr>
          <xdr:spPr>
            <a:xfrm>
              <a:off x="2273300" y="171451"/>
              <a:ext cx="1828800" cy="20383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101600</xdr:colOff>
      <xdr:row>18</xdr:row>
      <xdr:rowOff>0</xdr:rowOff>
    </xdr:from>
    <xdr:to>
      <xdr:col>4</xdr:col>
      <xdr:colOff>139700</xdr:colOff>
      <xdr:row>25</xdr:row>
      <xdr:rowOff>82550</xdr:rowOff>
    </xdr:to>
    <mc:AlternateContent xmlns:mc="http://schemas.openxmlformats.org/markup-compatibility/2006" xmlns:tsle="http://schemas.microsoft.com/office/drawing/2012/timeslicer">
      <mc:Choice Requires="tsle">
        <xdr:graphicFrame macro="">
          <xdr:nvGraphicFramePr>
            <xdr:cNvPr id="4" name="Date of Service">
              <a:extLst>
                <a:ext uri="{FF2B5EF4-FFF2-40B4-BE49-F238E27FC236}">
                  <a16:creationId xmlns:a16="http://schemas.microsoft.com/office/drawing/2014/main" id="{D6CA8301-242B-7B2C-AC6E-71623070A7D0}"/>
                </a:ext>
              </a:extLst>
            </xdr:cNvPr>
            <xdr:cNvGraphicFramePr/>
          </xdr:nvGraphicFramePr>
          <xdr:xfrm>
            <a:off x="0" y="0"/>
            <a:ext cx="0" cy="0"/>
          </xdr:xfrm>
          <a:graphic>
            <a:graphicData uri="http://schemas.microsoft.com/office/drawing/2012/timeslicer">
              <tsle:timeslicer name="Date of Service"/>
            </a:graphicData>
          </a:graphic>
        </xdr:graphicFrame>
      </mc:Choice>
      <mc:Fallback xmlns="">
        <xdr:sp macro="" textlink="">
          <xdr:nvSpPr>
            <xdr:cNvPr id="0" name=""/>
            <xdr:cNvSpPr>
              <a:spLocks noTextEdit="1"/>
            </xdr:cNvSpPr>
          </xdr:nvSpPr>
          <xdr:spPr>
            <a:xfrm>
              <a:off x="2247900" y="3314700"/>
              <a:ext cx="1917700" cy="13716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xdr:from>
      <xdr:col>10</xdr:col>
      <xdr:colOff>301625</xdr:colOff>
      <xdr:row>0</xdr:row>
      <xdr:rowOff>0</xdr:rowOff>
    </xdr:from>
    <xdr:to>
      <xdr:col>15</xdr:col>
      <xdr:colOff>419100</xdr:colOff>
      <xdr:row>13</xdr:row>
      <xdr:rowOff>6350</xdr:rowOff>
    </xdr:to>
    <xdr:graphicFrame macro="">
      <xdr:nvGraphicFramePr>
        <xdr:cNvPr id="6" name="Chart 5">
          <a:extLst>
            <a:ext uri="{FF2B5EF4-FFF2-40B4-BE49-F238E27FC236}">
              <a16:creationId xmlns:a16="http://schemas.microsoft.com/office/drawing/2014/main" id="{88B36154-B3E9-58D2-24E6-ADA917CBC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200025</xdr:colOff>
      <xdr:row>0</xdr:row>
      <xdr:rowOff>19050</xdr:rowOff>
    </xdr:from>
    <xdr:to>
      <xdr:col>10</xdr:col>
      <xdr:colOff>38100</xdr:colOff>
      <xdr:row>13</xdr:row>
      <xdr:rowOff>0</xdr:rowOff>
    </xdr:to>
    <xdr:graphicFrame macro="">
      <xdr:nvGraphicFramePr>
        <xdr:cNvPr id="9" name="Chart 8">
          <a:extLst>
            <a:ext uri="{FF2B5EF4-FFF2-40B4-BE49-F238E27FC236}">
              <a16:creationId xmlns:a16="http://schemas.microsoft.com/office/drawing/2014/main" id="{CA01F7A3-AF9E-AB77-3C5B-CFDC5DD09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206375</xdr:colOff>
      <xdr:row>13</xdr:row>
      <xdr:rowOff>107950</xdr:rowOff>
    </xdr:from>
    <xdr:to>
      <xdr:col>10</xdr:col>
      <xdr:colOff>38100</xdr:colOff>
      <xdr:row>25</xdr:row>
      <xdr:rowOff>133350</xdr:rowOff>
    </xdr:to>
    <xdr:graphicFrame macro="">
      <xdr:nvGraphicFramePr>
        <xdr:cNvPr id="11" name="Chart 10">
          <a:extLst>
            <a:ext uri="{FF2B5EF4-FFF2-40B4-BE49-F238E27FC236}">
              <a16:creationId xmlns:a16="http://schemas.microsoft.com/office/drawing/2014/main" id="{5489842C-503A-82C6-A6B9-6FEE0FFC4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323850</xdr:colOff>
      <xdr:row>13</xdr:row>
      <xdr:rowOff>139700</xdr:rowOff>
    </xdr:from>
    <xdr:to>
      <xdr:col>15</xdr:col>
      <xdr:colOff>431800</xdr:colOff>
      <xdr:row>25</xdr:row>
      <xdr:rowOff>133350</xdr:rowOff>
    </xdr:to>
    <xdr:graphicFrame macro="">
      <xdr:nvGraphicFramePr>
        <xdr:cNvPr id="13" name="Chart 12">
          <a:extLst>
            <a:ext uri="{FF2B5EF4-FFF2-40B4-BE49-F238E27FC236}">
              <a16:creationId xmlns:a16="http://schemas.microsoft.com/office/drawing/2014/main" id="{5FB82FD9-76A8-1B95-F76F-F83ACE9A6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19050</xdr:rowOff>
    </xdr:from>
    <xdr:to>
      <xdr:col>19</xdr:col>
      <xdr:colOff>82550</xdr:colOff>
      <xdr:row>3</xdr:row>
      <xdr:rowOff>146050</xdr:rowOff>
    </xdr:to>
    <xdr:sp macro="" textlink="">
      <xdr:nvSpPr>
        <xdr:cNvPr id="5" name="Rectangle: Rounded Corners 4">
          <a:extLst>
            <a:ext uri="{FF2B5EF4-FFF2-40B4-BE49-F238E27FC236}">
              <a16:creationId xmlns:a16="http://schemas.microsoft.com/office/drawing/2014/main" id="{A17C5272-7A55-317D-438A-35EF9573B6AD}"/>
            </a:ext>
          </a:extLst>
        </xdr:cNvPr>
        <xdr:cNvSpPr/>
      </xdr:nvSpPr>
      <xdr:spPr>
        <a:xfrm>
          <a:off x="95250" y="19050"/>
          <a:ext cx="11798300" cy="679450"/>
        </a:xfrm>
        <a:prstGeom prst="roundRect">
          <a:avLst/>
        </a:prstGeom>
        <a:solidFill>
          <a:schemeClr val="accent6">
            <a:lumMod val="75000"/>
          </a:schemeClr>
        </a:solidFill>
        <a:ln>
          <a:solidFill>
            <a:schemeClr val="bg1"/>
          </a:solid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400" b="0" cap="none" spc="0">
              <a:ln w="0"/>
              <a:solidFill>
                <a:schemeClr val="bg1"/>
              </a:solidFill>
              <a:effectLst>
                <a:outerShdw blurRad="38100" dist="19050" dir="2700000" algn="tl" rotWithShape="0">
                  <a:schemeClr val="dk1">
                    <a:alpha val="40000"/>
                  </a:schemeClr>
                </a:outerShdw>
              </a:effectLst>
            </a:rPr>
            <a:t>Claims</a:t>
          </a:r>
          <a:r>
            <a:rPr lang="en-AE" sz="2400" b="0" cap="none" spc="0" baseline="0">
              <a:ln w="0"/>
              <a:solidFill>
                <a:schemeClr val="bg1"/>
              </a:solidFill>
              <a:effectLst>
                <a:outerShdw blurRad="38100" dist="19050" dir="2700000" algn="tl" rotWithShape="0">
                  <a:schemeClr val="dk1">
                    <a:alpha val="40000"/>
                  </a:schemeClr>
                </a:outerShdw>
              </a:effectLst>
            </a:rPr>
            <a:t> Payment </a:t>
          </a:r>
          <a:r>
            <a:rPr lang="en-GB" sz="2400" b="0" cap="none" spc="0" baseline="0">
              <a:ln w="0"/>
              <a:solidFill>
                <a:schemeClr val="bg1"/>
              </a:solidFill>
              <a:effectLst>
                <a:outerShdw blurRad="38100" dist="19050" dir="2700000" algn="tl" rotWithShape="0">
                  <a:schemeClr val="dk1">
                    <a:alpha val="40000"/>
                  </a:schemeClr>
                </a:outerShdw>
              </a:effectLst>
            </a:rPr>
            <a:t>Analysis  Dashboard</a:t>
          </a:r>
          <a:endParaRPr lang="en-AE" sz="24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158750</xdr:colOff>
      <xdr:row>6</xdr:row>
      <xdr:rowOff>12700</xdr:rowOff>
    </xdr:from>
    <xdr:to>
      <xdr:col>0</xdr:col>
      <xdr:colOff>495300</xdr:colOff>
      <xdr:row>7</xdr:row>
      <xdr:rowOff>120650</xdr:rowOff>
    </xdr:to>
    <xdr:sp macro="" textlink="">
      <xdr:nvSpPr>
        <xdr:cNvPr id="6" name="Rectangle: Rounded Corners 5">
          <a:extLst>
            <a:ext uri="{FF2B5EF4-FFF2-40B4-BE49-F238E27FC236}">
              <a16:creationId xmlns:a16="http://schemas.microsoft.com/office/drawing/2014/main" id="{125CC911-CF63-E04C-AEAA-36F2DC4E346B}"/>
            </a:ext>
          </a:extLst>
        </xdr:cNvPr>
        <xdr:cNvSpPr/>
      </xdr:nvSpPr>
      <xdr:spPr>
        <a:xfrm>
          <a:off x="158750" y="1117600"/>
          <a:ext cx="336550" cy="292100"/>
        </a:xfrm>
        <a:prstGeom prst="roundRect">
          <a:avLst/>
        </a:prstGeom>
        <a:solidFill>
          <a:schemeClr val="accent6">
            <a:lumMod val="40000"/>
            <a:lumOff val="60000"/>
          </a:schemeClr>
        </a:solidFill>
        <a:ln>
          <a:solidFill>
            <a:schemeClr val="bg1"/>
          </a:solid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oneCell">
    <xdr:from>
      <xdr:col>0</xdr:col>
      <xdr:colOff>139223</xdr:colOff>
      <xdr:row>27</xdr:row>
      <xdr:rowOff>19050</xdr:rowOff>
    </xdr:from>
    <xdr:to>
      <xdr:col>5</xdr:col>
      <xdr:colOff>647700</xdr:colOff>
      <xdr:row>31</xdr:row>
      <xdr:rowOff>12700</xdr:rowOff>
    </xdr:to>
    <mc:AlternateContent xmlns:mc="http://schemas.openxmlformats.org/markup-compatibility/2006" xmlns:a14="http://schemas.microsoft.com/office/drawing/2010/main">
      <mc:Choice Requires="a14">
        <xdr:graphicFrame macro="">
          <xdr:nvGraphicFramePr>
            <xdr:cNvPr id="9" name="Denial Status 1">
              <a:extLst>
                <a:ext uri="{FF2B5EF4-FFF2-40B4-BE49-F238E27FC236}">
                  <a16:creationId xmlns:a16="http://schemas.microsoft.com/office/drawing/2014/main" id="{299B0EB4-86F1-428F-AE41-72042539B186}"/>
                </a:ext>
              </a:extLst>
            </xdr:cNvPr>
            <xdr:cNvGraphicFramePr/>
          </xdr:nvGraphicFramePr>
          <xdr:xfrm>
            <a:off x="0" y="0"/>
            <a:ext cx="0" cy="0"/>
          </xdr:xfrm>
          <a:graphic>
            <a:graphicData uri="http://schemas.microsoft.com/office/drawing/2010/slicer">
              <sle:slicer xmlns:sle="http://schemas.microsoft.com/office/drawing/2010/slicer" name="Denial Status 1"/>
            </a:graphicData>
          </a:graphic>
        </xdr:graphicFrame>
      </mc:Choice>
      <mc:Fallback xmlns="">
        <xdr:sp macro="" textlink="">
          <xdr:nvSpPr>
            <xdr:cNvPr id="0" name=""/>
            <xdr:cNvSpPr>
              <a:spLocks noTextEdit="1"/>
            </xdr:cNvSpPr>
          </xdr:nvSpPr>
          <xdr:spPr>
            <a:xfrm>
              <a:off x="139223" y="4991100"/>
              <a:ext cx="3536661" cy="7302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18</xdr:row>
      <xdr:rowOff>95250</xdr:rowOff>
    </xdr:from>
    <xdr:to>
      <xdr:col>5</xdr:col>
      <xdr:colOff>654050</xdr:colOff>
      <xdr:row>25</xdr:row>
      <xdr:rowOff>152400</xdr:rowOff>
    </xdr:to>
    <mc:AlternateContent xmlns:mc="http://schemas.openxmlformats.org/markup-compatibility/2006" xmlns:a14="http://schemas.microsoft.com/office/drawing/2010/main">
      <mc:Choice Requires="a14">
        <xdr:graphicFrame macro="">
          <xdr:nvGraphicFramePr>
            <xdr:cNvPr id="10" name="Insurance Name 1">
              <a:extLst>
                <a:ext uri="{FF2B5EF4-FFF2-40B4-BE49-F238E27FC236}">
                  <a16:creationId xmlns:a16="http://schemas.microsoft.com/office/drawing/2014/main" id="{650DA571-6BE9-412A-94A3-79693651F834}"/>
                </a:ext>
              </a:extLst>
            </xdr:cNvPr>
            <xdr:cNvGraphicFramePr/>
          </xdr:nvGraphicFramePr>
          <xdr:xfrm>
            <a:off x="0" y="0"/>
            <a:ext cx="0" cy="0"/>
          </xdr:xfrm>
          <a:graphic>
            <a:graphicData uri="http://schemas.microsoft.com/office/drawing/2010/slicer">
              <sle:slicer xmlns:sle="http://schemas.microsoft.com/office/drawing/2010/slicer" name="Insurance Name 1"/>
            </a:graphicData>
          </a:graphic>
        </xdr:graphicFrame>
      </mc:Choice>
      <mc:Fallback xmlns="">
        <xdr:sp macro="" textlink="">
          <xdr:nvSpPr>
            <xdr:cNvPr id="0" name=""/>
            <xdr:cNvSpPr>
              <a:spLocks noTextEdit="1"/>
            </xdr:cNvSpPr>
          </xdr:nvSpPr>
          <xdr:spPr>
            <a:xfrm>
              <a:off x="107950" y="3409950"/>
              <a:ext cx="3579612" cy="13462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94416</xdr:colOff>
      <xdr:row>9</xdr:row>
      <xdr:rowOff>139700</xdr:rowOff>
    </xdr:from>
    <xdr:to>
      <xdr:col>5</xdr:col>
      <xdr:colOff>666750</xdr:colOff>
      <xdr:row>17</xdr:row>
      <xdr:rowOff>127000</xdr:rowOff>
    </xdr:to>
    <mc:AlternateContent xmlns:mc="http://schemas.openxmlformats.org/markup-compatibility/2006" xmlns:tsle="http://schemas.microsoft.com/office/drawing/2012/timeslicer">
      <mc:Choice Requires="tsle">
        <xdr:graphicFrame macro="">
          <xdr:nvGraphicFramePr>
            <xdr:cNvPr id="11" name="Date of Service 1">
              <a:extLst>
                <a:ext uri="{FF2B5EF4-FFF2-40B4-BE49-F238E27FC236}">
                  <a16:creationId xmlns:a16="http://schemas.microsoft.com/office/drawing/2014/main" id="{CC17A0E1-1646-4114-9092-891E46377A83}"/>
                </a:ext>
              </a:extLst>
            </xdr:cNvPr>
            <xdr:cNvGraphicFramePr/>
          </xdr:nvGraphicFramePr>
          <xdr:xfrm>
            <a:off x="0" y="0"/>
            <a:ext cx="0" cy="0"/>
          </xdr:xfrm>
          <a:graphic>
            <a:graphicData uri="http://schemas.microsoft.com/office/drawing/2012/timeslicer">
              <tsle:timeslicer name="Date of Service 1"/>
            </a:graphicData>
          </a:graphic>
        </xdr:graphicFrame>
      </mc:Choice>
      <mc:Fallback xmlns="">
        <xdr:sp macro="" textlink="">
          <xdr:nvSpPr>
            <xdr:cNvPr id="0" name=""/>
            <xdr:cNvSpPr>
              <a:spLocks noTextEdit="1"/>
            </xdr:cNvSpPr>
          </xdr:nvSpPr>
          <xdr:spPr>
            <a:xfrm>
              <a:off x="94416" y="1797050"/>
              <a:ext cx="3575884" cy="14605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xdr:from>
      <xdr:col>12</xdr:col>
      <xdr:colOff>400050</xdr:colOff>
      <xdr:row>4</xdr:row>
      <xdr:rowOff>69849</xdr:rowOff>
    </xdr:from>
    <xdr:to>
      <xdr:col>19</xdr:col>
      <xdr:colOff>111745</xdr:colOff>
      <xdr:row>17</xdr:row>
      <xdr:rowOff>178886</xdr:rowOff>
    </xdr:to>
    <xdr:graphicFrame macro="">
      <xdr:nvGraphicFramePr>
        <xdr:cNvPr id="12" name="Chart 11">
          <a:extLst>
            <a:ext uri="{FF2B5EF4-FFF2-40B4-BE49-F238E27FC236}">
              <a16:creationId xmlns:a16="http://schemas.microsoft.com/office/drawing/2014/main" id="{BD0A33A1-52D3-48AC-B524-66CBDA74B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4</xdr:row>
      <xdr:rowOff>69850</xdr:rowOff>
    </xdr:from>
    <xdr:to>
      <xdr:col>12</xdr:col>
      <xdr:colOff>349250</xdr:colOff>
      <xdr:row>17</xdr:row>
      <xdr:rowOff>152400</xdr:rowOff>
    </xdr:to>
    <xdr:graphicFrame macro="">
      <xdr:nvGraphicFramePr>
        <xdr:cNvPr id="13" name="Chart 12">
          <a:extLst>
            <a:ext uri="{FF2B5EF4-FFF2-40B4-BE49-F238E27FC236}">
              <a16:creationId xmlns:a16="http://schemas.microsoft.com/office/drawing/2014/main" id="{C36B95DD-9ADD-4D68-AAD3-D4BE2A8A7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70268</xdr:colOff>
      <xdr:row>18</xdr:row>
      <xdr:rowOff>31750</xdr:rowOff>
    </xdr:from>
    <xdr:to>
      <xdr:col>12</xdr:col>
      <xdr:colOff>356029</xdr:colOff>
      <xdr:row>31</xdr:row>
      <xdr:rowOff>170428</xdr:rowOff>
    </xdr:to>
    <xdr:graphicFrame macro="">
      <xdr:nvGraphicFramePr>
        <xdr:cNvPr id="15" name="Chart 14">
          <a:extLst>
            <a:ext uri="{FF2B5EF4-FFF2-40B4-BE49-F238E27FC236}">
              <a16:creationId xmlns:a16="http://schemas.microsoft.com/office/drawing/2014/main" id="{46E56944-637A-4360-AA99-EA180559F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317500</xdr:colOff>
      <xdr:row>6</xdr:row>
      <xdr:rowOff>38100</xdr:rowOff>
    </xdr:from>
    <xdr:to>
      <xdr:col>2</xdr:col>
      <xdr:colOff>571500</xdr:colOff>
      <xdr:row>7</xdr:row>
      <xdr:rowOff>101600</xdr:rowOff>
    </xdr:to>
    <xdr:sp macro="" textlink="">
      <xdr:nvSpPr>
        <xdr:cNvPr id="27" name="Rectangle: Rounded Corners 26">
          <a:extLst>
            <a:ext uri="{FF2B5EF4-FFF2-40B4-BE49-F238E27FC236}">
              <a16:creationId xmlns:a16="http://schemas.microsoft.com/office/drawing/2014/main" id="{006801BD-C681-D20C-B060-39B7A4C27562}"/>
            </a:ext>
          </a:extLst>
        </xdr:cNvPr>
        <xdr:cNvSpPr/>
      </xdr:nvSpPr>
      <xdr:spPr>
        <a:xfrm>
          <a:off x="1517650" y="1143000"/>
          <a:ext cx="254000" cy="247650"/>
        </a:xfrm>
        <a:prstGeom prst="roundRect">
          <a:avLst/>
        </a:prstGeom>
        <a:solidFill>
          <a:schemeClr val="accent6">
            <a:lumMod val="40000"/>
            <a:lumOff val="60000"/>
          </a:schemeClr>
        </a:solidFill>
        <a:ln>
          <a:solidFill>
            <a:schemeClr val="bg1"/>
          </a:solid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279400</xdr:colOff>
      <xdr:row>6</xdr:row>
      <xdr:rowOff>31750</xdr:rowOff>
    </xdr:from>
    <xdr:to>
      <xdr:col>4</xdr:col>
      <xdr:colOff>565150</xdr:colOff>
      <xdr:row>7</xdr:row>
      <xdr:rowOff>82550</xdr:rowOff>
    </xdr:to>
    <xdr:sp macro="" textlink="">
      <xdr:nvSpPr>
        <xdr:cNvPr id="28" name="Rectangle: Rounded Corners 27">
          <a:extLst>
            <a:ext uri="{FF2B5EF4-FFF2-40B4-BE49-F238E27FC236}">
              <a16:creationId xmlns:a16="http://schemas.microsoft.com/office/drawing/2014/main" id="{069AC837-29A2-87AF-A5DF-0F5A8FCC3F72}"/>
            </a:ext>
          </a:extLst>
        </xdr:cNvPr>
        <xdr:cNvSpPr/>
      </xdr:nvSpPr>
      <xdr:spPr>
        <a:xfrm>
          <a:off x="2851150" y="1136650"/>
          <a:ext cx="285750" cy="234950"/>
        </a:xfrm>
        <a:prstGeom prst="roundRect">
          <a:avLst/>
        </a:prstGeom>
        <a:solidFill>
          <a:schemeClr val="accent6">
            <a:lumMod val="40000"/>
            <a:lumOff val="60000"/>
          </a:schemeClr>
        </a:solidFill>
        <a:ln>
          <a:solidFill>
            <a:schemeClr val="bg1"/>
          </a:solid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406306</xdr:colOff>
      <xdr:row>18</xdr:row>
      <xdr:rowOff>31750</xdr:rowOff>
    </xdr:from>
    <xdr:to>
      <xdr:col>19</xdr:col>
      <xdr:colOff>114300</xdr:colOff>
      <xdr:row>31</xdr:row>
      <xdr:rowOff>170688</xdr:rowOff>
    </xdr:to>
    <xdr:graphicFrame macro="">
      <xdr:nvGraphicFramePr>
        <xdr:cNvPr id="29" name="Chart 28">
          <a:extLst>
            <a:ext uri="{FF2B5EF4-FFF2-40B4-BE49-F238E27FC236}">
              <a16:creationId xmlns:a16="http://schemas.microsoft.com/office/drawing/2014/main" id="{B9CE1566-92C6-4D6F-8B2C-5FE98813C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57150</xdr:colOff>
      <xdr:row>0</xdr:row>
      <xdr:rowOff>114300</xdr:rowOff>
    </xdr:from>
    <xdr:to>
      <xdr:col>5</xdr:col>
      <xdr:colOff>417150</xdr:colOff>
      <xdr:row>2</xdr:row>
      <xdr:rowOff>106000</xdr:rowOff>
    </xdr:to>
    <xdr:pic>
      <xdr:nvPicPr>
        <xdr:cNvPr id="34" name="Graphic 33" descr="Medical with solid fill">
          <a:extLst>
            <a:ext uri="{FF2B5EF4-FFF2-40B4-BE49-F238E27FC236}">
              <a16:creationId xmlns:a16="http://schemas.microsoft.com/office/drawing/2014/main" id="{2E78F1A8-EA7F-1C31-1EF3-1F2C7AA92C7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38500" y="114300"/>
          <a:ext cx="360000" cy="360000"/>
        </a:xfrm>
        <a:prstGeom prst="rect">
          <a:avLst/>
        </a:prstGeom>
      </xdr:spPr>
    </xdr:pic>
    <xdr:clientData/>
  </xdr:twoCellAnchor>
  <xdr:twoCellAnchor editAs="oneCell">
    <xdr:from>
      <xdr:col>4</xdr:col>
      <xdr:colOff>342900</xdr:colOff>
      <xdr:row>6</xdr:row>
      <xdr:rowOff>63500</xdr:rowOff>
    </xdr:from>
    <xdr:to>
      <xdr:col>4</xdr:col>
      <xdr:colOff>501650</xdr:colOff>
      <xdr:row>7</xdr:row>
      <xdr:rowOff>38100</xdr:rowOff>
    </xdr:to>
    <xdr:pic>
      <xdr:nvPicPr>
        <xdr:cNvPr id="36" name="Graphic 35" descr="Coins with solid fill">
          <a:extLst>
            <a:ext uri="{FF2B5EF4-FFF2-40B4-BE49-F238E27FC236}">
              <a16:creationId xmlns:a16="http://schemas.microsoft.com/office/drawing/2014/main" id="{5D73A5DE-0885-EACC-CE1F-F6DF33CCBB0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914650" y="1168400"/>
          <a:ext cx="158750" cy="158750"/>
        </a:xfrm>
        <a:prstGeom prst="rect">
          <a:avLst/>
        </a:prstGeom>
      </xdr:spPr>
    </xdr:pic>
    <xdr:clientData/>
  </xdr:twoCellAnchor>
  <xdr:twoCellAnchor editAs="oneCell">
    <xdr:from>
      <xdr:col>2</xdr:col>
      <xdr:colOff>359550</xdr:colOff>
      <xdr:row>6</xdr:row>
      <xdr:rowOff>82550</xdr:rowOff>
    </xdr:from>
    <xdr:to>
      <xdr:col>2</xdr:col>
      <xdr:colOff>533000</xdr:colOff>
      <xdr:row>7</xdr:row>
      <xdr:rowOff>71850</xdr:rowOff>
    </xdr:to>
    <xdr:pic>
      <xdr:nvPicPr>
        <xdr:cNvPr id="38" name="Graphic 37" descr="Diamond with solid fill">
          <a:extLst>
            <a:ext uri="{FF2B5EF4-FFF2-40B4-BE49-F238E27FC236}">
              <a16:creationId xmlns:a16="http://schemas.microsoft.com/office/drawing/2014/main" id="{306C55AF-E718-D865-74A4-F6DC161A498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559700" y="1187450"/>
          <a:ext cx="173450" cy="173450"/>
        </a:xfrm>
        <a:prstGeom prst="rect">
          <a:avLst/>
        </a:prstGeom>
      </xdr:spPr>
    </xdr:pic>
    <xdr:clientData/>
  </xdr:twoCellAnchor>
  <xdr:twoCellAnchor editAs="oneCell">
    <xdr:from>
      <xdr:col>0</xdr:col>
      <xdr:colOff>211100</xdr:colOff>
      <xdr:row>6</xdr:row>
      <xdr:rowOff>44450</xdr:rowOff>
    </xdr:from>
    <xdr:to>
      <xdr:col>0</xdr:col>
      <xdr:colOff>420650</xdr:colOff>
      <xdr:row>7</xdr:row>
      <xdr:rowOff>69850</xdr:rowOff>
    </xdr:to>
    <xdr:pic>
      <xdr:nvPicPr>
        <xdr:cNvPr id="40" name="Graphic 39" descr="Money with solid fill">
          <a:extLst>
            <a:ext uri="{FF2B5EF4-FFF2-40B4-BE49-F238E27FC236}">
              <a16:creationId xmlns:a16="http://schemas.microsoft.com/office/drawing/2014/main" id="{E7538C74-C828-4E61-D5EB-5ADA36CC4F3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1100" y="1149350"/>
          <a:ext cx="209550" cy="2095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thvina" refreshedDate="46042.666568865738" createdVersion="7" refreshedVersion="7" minRefreshableVersion="3" recordCount="1000" xr:uid="{D21B9454-47E4-461B-A44E-1520ABE5B338}">
  <cacheSource type="worksheet">
    <worksheetSource name="Table1"/>
  </cacheSource>
  <cacheFields count="11">
    <cacheField name="Account No" numFmtId="0">
      <sharedItems/>
    </cacheField>
    <cacheField name="Patient Name" numFmtId="0">
      <sharedItems/>
    </cacheField>
    <cacheField name="CPT Code" numFmtId="0">
      <sharedItems/>
    </cacheField>
    <cacheField name="Date of Service" numFmtId="14">
      <sharedItems containsSemiMixedTypes="0" containsNonDate="0" containsDate="1" containsString="0" minDate="2023-01-01T00:00:00" maxDate="2024-08-24T00:00:00" count="492">
        <d v="2023-01-24T00:00:00"/>
        <d v="2023-07-27T00:00:00"/>
        <d v="2024-02-24T00:00:00"/>
        <d v="2024-03-12T00:00:00"/>
        <d v="2023-09-22T00:00:00"/>
        <d v="2023-08-24T00:00:00"/>
        <d v="2023-03-14T00:00:00"/>
        <d v="2023-09-19T00:00:00"/>
        <d v="2024-04-10T00:00:00"/>
        <d v="2023-07-03T00:00:00"/>
        <d v="2024-08-10T00:00:00"/>
        <d v="2023-09-08T00:00:00"/>
        <d v="2023-11-14T00:00:00"/>
        <d v="2024-04-29T00:00:00"/>
        <d v="2023-08-08T00:00:00"/>
        <d v="2023-01-15T00:00:00"/>
        <d v="2023-01-17T00:00:00"/>
        <d v="2023-01-16T00:00:00"/>
        <d v="2023-08-29T00:00:00"/>
        <d v="2023-04-28T00:00:00"/>
        <d v="2023-09-04T00:00:00"/>
        <d v="2023-10-06T00:00:00"/>
        <d v="2024-01-22T00:00:00"/>
        <d v="2023-03-09T00:00:00"/>
        <d v="2023-06-20T00:00:00"/>
        <d v="2024-05-22T00:00:00"/>
        <d v="2023-12-28T00:00:00"/>
        <d v="2023-05-11T00:00:00"/>
        <d v="2023-04-23T00:00:00"/>
        <d v="2023-11-30T00:00:00"/>
        <d v="2023-12-02T00:00:00"/>
        <d v="2023-11-22T00:00:00"/>
        <d v="2023-03-27T00:00:00"/>
        <d v="2023-05-25T00:00:00"/>
        <d v="2024-01-30T00:00:00"/>
        <d v="2023-11-10T00:00:00"/>
        <d v="2023-11-05T00:00:00"/>
        <d v="2023-04-25T00:00:00"/>
        <d v="2024-02-07T00:00:00"/>
        <d v="2023-11-25T00:00:00"/>
        <d v="2024-08-04T00:00:00"/>
        <d v="2023-11-23T00:00:00"/>
        <d v="2024-04-18T00:00:00"/>
        <d v="2023-01-12T00:00:00"/>
        <d v="2023-12-03T00:00:00"/>
        <d v="2023-02-22T00:00:00"/>
        <d v="2023-08-23T00:00:00"/>
        <d v="2024-05-28T00:00:00"/>
        <d v="2023-08-17T00:00:00"/>
        <d v="2024-07-06T00:00:00"/>
        <d v="2023-01-25T00:00:00"/>
        <d v="2024-04-26T00:00:00"/>
        <d v="2024-03-20T00:00:00"/>
        <d v="2023-04-24T00:00:00"/>
        <d v="2023-02-19T00:00:00"/>
        <d v="2023-02-27T00:00:00"/>
        <d v="2023-03-25T00:00:00"/>
        <d v="2024-04-15T00:00:00"/>
        <d v="2024-04-11T00:00:00"/>
        <d v="2023-07-17T00:00:00"/>
        <d v="2024-02-15T00:00:00"/>
        <d v="2024-05-18T00:00:00"/>
        <d v="2023-04-29T00:00:00"/>
        <d v="2024-05-17T00:00:00"/>
        <d v="2023-01-28T00:00:00"/>
        <d v="2023-06-27T00:00:00"/>
        <d v="2023-03-07T00:00:00"/>
        <d v="2024-03-24T00:00:00"/>
        <d v="2024-01-07T00:00:00"/>
        <d v="2024-08-13T00:00:00"/>
        <d v="2023-05-31T00:00:00"/>
        <d v="2023-03-11T00:00:00"/>
        <d v="2023-09-29T00:00:00"/>
        <d v="2024-03-01T00:00:00"/>
        <d v="2023-02-01T00:00:00"/>
        <d v="2024-05-31T00:00:00"/>
        <d v="2023-06-08T00:00:00"/>
        <d v="2023-03-28T00:00:00"/>
        <d v="2023-02-28T00:00:00"/>
        <d v="2023-02-20T00:00:00"/>
        <d v="2024-05-19T00:00:00"/>
        <d v="2023-05-06T00:00:00"/>
        <d v="2024-06-07T00:00:00"/>
        <d v="2024-02-27T00:00:00"/>
        <d v="2024-07-27T00:00:00"/>
        <d v="2023-04-12T00:00:00"/>
        <d v="2023-06-02T00:00:00"/>
        <d v="2024-01-05T00:00:00"/>
        <d v="2023-09-09T00:00:00"/>
        <d v="2023-02-10T00:00:00"/>
        <d v="2024-08-20T00:00:00"/>
        <d v="2023-07-16T00:00:00"/>
        <d v="2024-02-04T00:00:00"/>
        <d v="2024-07-19T00:00:00"/>
        <d v="2023-06-05T00:00:00"/>
        <d v="2023-04-07T00:00:00"/>
        <d v="2024-07-08T00:00:00"/>
        <d v="2023-12-18T00:00:00"/>
        <d v="2023-08-05T00:00:00"/>
        <d v="2024-04-27T00:00:00"/>
        <d v="2024-07-15T00:00:00"/>
        <d v="2023-05-19T00:00:00"/>
        <d v="2023-08-03T00:00:00"/>
        <d v="2023-10-13T00:00:00"/>
        <d v="2023-04-08T00:00:00"/>
        <d v="2023-04-21T00:00:00"/>
        <d v="2023-11-26T00:00:00"/>
        <d v="2024-01-03T00:00:00"/>
        <d v="2024-06-16T00:00:00"/>
        <d v="2023-12-06T00:00:00"/>
        <d v="2024-01-26T00:00:00"/>
        <d v="2023-08-12T00:00:00"/>
        <d v="2023-07-11T00:00:00"/>
        <d v="2023-11-27T00:00:00"/>
        <d v="2023-05-27T00:00:00"/>
        <d v="2024-06-04T00:00:00"/>
        <d v="2024-07-26T00:00:00"/>
        <d v="2024-03-15T00:00:00"/>
        <d v="2023-11-11T00:00:00"/>
        <d v="2023-10-08T00:00:00"/>
        <d v="2024-02-14T00:00:00"/>
        <d v="2023-09-10T00:00:00"/>
        <d v="2023-01-14T00:00:00"/>
        <d v="2024-04-24T00:00:00"/>
        <d v="2023-01-09T00:00:00"/>
        <d v="2023-03-01T00:00:00"/>
        <d v="2024-07-05T00:00:00"/>
        <d v="2023-11-08T00:00:00"/>
        <d v="2023-05-13T00:00:00"/>
        <d v="2024-03-08T00:00:00"/>
        <d v="2023-09-21T00:00:00"/>
        <d v="2023-09-20T00:00:00"/>
        <d v="2023-07-13T00:00:00"/>
        <d v="2023-08-28T00:00:00"/>
        <d v="2023-03-13T00:00:00"/>
        <d v="2024-04-01T00:00:00"/>
        <d v="2023-11-17T00:00:00"/>
        <d v="2023-12-01T00:00:00"/>
        <d v="2023-05-18T00:00:00"/>
        <d v="2023-07-22T00:00:00"/>
        <d v="2023-01-20T00:00:00"/>
        <d v="2023-10-30T00:00:00"/>
        <d v="2024-01-11T00:00:00"/>
        <d v="2023-05-04T00:00:00"/>
        <d v="2023-07-31T00:00:00"/>
        <d v="2024-05-27T00:00:00"/>
        <d v="2024-01-17T00:00:00"/>
        <d v="2023-03-15T00:00:00"/>
        <d v="2023-08-13T00:00:00"/>
        <d v="2023-12-19T00:00:00"/>
        <d v="2023-04-26T00:00:00"/>
        <d v="2023-10-09T00:00:00"/>
        <d v="2023-10-11T00:00:00"/>
        <d v="2023-04-22T00:00:00"/>
        <d v="2024-07-22T00:00:00"/>
        <d v="2023-04-13T00:00:00"/>
        <d v="2023-12-05T00:00:00"/>
        <d v="2024-03-09T00:00:00"/>
        <d v="2024-06-02T00:00:00"/>
        <d v="2023-03-16T00:00:00"/>
        <d v="2024-03-25T00:00:00"/>
        <d v="2023-04-18T00:00:00"/>
        <d v="2023-08-01T00:00:00"/>
        <d v="2023-05-16T00:00:00"/>
        <d v="2024-01-14T00:00:00"/>
        <d v="2024-07-04T00:00:00"/>
        <d v="2024-05-24T00:00:00"/>
        <d v="2024-04-25T00:00:00"/>
        <d v="2023-05-29T00:00:00"/>
        <d v="2023-06-16T00:00:00"/>
        <d v="2023-10-01T00:00:00"/>
        <d v="2024-05-03T00:00:00"/>
        <d v="2023-02-13T00:00:00"/>
        <d v="2024-05-11T00:00:00"/>
        <d v="2024-08-21T00:00:00"/>
        <d v="2023-01-07T00:00:00"/>
        <d v="2023-06-23T00:00:00"/>
        <d v="2023-03-18T00:00:00"/>
        <d v="2024-08-07T00:00:00"/>
        <d v="2023-08-16T00:00:00"/>
        <d v="2023-02-23T00:00:00"/>
        <d v="2023-12-17T00:00:00"/>
        <d v="2024-03-04T00:00:00"/>
        <d v="2023-11-01T00:00:00"/>
        <d v="2023-08-26T00:00:00"/>
        <d v="2024-07-09T00:00:00"/>
        <d v="2024-01-13T00:00:00"/>
        <d v="2023-02-15T00:00:00"/>
        <d v="2023-06-06T00:00:00"/>
        <d v="2023-01-01T00:00:00"/>
        <d v="2023-01-21T00:00:00"/>
        <d v="2024-03-23T00:00:00"/>
        <d v="2023-06-14T00:00:00"/>
        <d v="2024-01-23T00:00:00"/>
        <d v="2023-08-18T00:00:00"/>
        <d v="2024-06-17T00:00:00"/>
        <d v="2023-07-05T00:00:00"/>
        <d v="2023-02-17T00:00:00"/>
        <d v="2023-06-29T00:00:00"/>
        <d v="2023-03-21T00:00:00"/>
        <d v="2024-01-02T00:00:00"/>
        <d v="2023-07-23T00:00:00"/>
        <d v="2024-02-12T00:00:00"/>
        <d v="2023-05-24T00:00:00"/>
        <d v="2023-03-10T00:00:00"/>
        <d v="2024-07-17T00:00:00"/>
        <d v="2023-04-16T00:00:00"/>
        <d v="2024-02-05T00:00:00"/>
        <d v="2023-06-28T00:00:00"/>
        <d v="2023-01-29T00:00:00"/>
        <d v="2023-01-11T00:00:00"/>
        <d v="2024-02-22T00:00:00"/>
        <d v="2023-03-24T00:00:00"/>
        <d v="2023-09-05T00:00:00"/>
        <d v="2023-12-08T00:00:00"/>
        <d v="2023-12-07T00:00:00"/>
        <d v="2024-06-24T00:00:00"/>
        <d v="2024-07-23T00:00:00"/>
        <d v="2023-02-24T00:00:00"/>
        <d v="2024-07-10T00:00:00"/>
        <d v="2024-06-23T00:00:00"/>
        <d v="2024-03-05T00:00:00"/>
        <d v="2023-09-07T00:00:00"/>
        <d v="2024-08-09T00:00:00"/>
        <d v="2024-05-14T00:00:00"/>
        <d v="2024-02-06T00:00:00"/>
        <d v="2023-08-07T00:00:00"/>
        <d v="2023-08-09T00:00:00"/>
        <d v="2024-02-20T00:00:00"/>
        <d v="2023-06-18T00:00:00"/>
        <d v="2023-04-02T00:00:00"/>
        <d v="2023-05-17T00:00:00"/>
        <d v="2023-04-14T00:00:00"/>
        <d v="2023-01-13T00:00:00"/>
        <d v="2023-10-21T00:00:00"/>
        <d v="2023-01-02T00:00:00"/>
        <d v="2023-03-06T00:00:00"/>
        <d v="2024-08-03T00:00:00"/>
        <d v="2023-07-15T00:00:00"/>
        <d v="2023-11-16T00:00:00"/>
        <d v="2024-04-22T00:00:00"/>
        <d v="2024-06-28T00:00:00"/>
        <d v="2023-03-08T00:00:00"/>
        <d v="2023-07-26T00:00:00"/>
        <d v="2023-09-17T00:00:00"/>
        <d v="2024-04-19T00:00:00"/>
        <d v="2024-04-21T00:00:00"/>
        <d v="2023-07-20T00:00:00"/>
        <d v="2023-07-24T00:00:00"/>
        <d v="2023-10-16T00:00:00"/>
        <d v="2023-07-08T00:00:00"/>
        <d v="2024-03-28T00:00:00"/>
        <d v="2024-07-12T00:00:00"/>
        <d v="2024-06-29T00:00:00"/>
        <d v="2023-07-12T00:00:00"/>
        <d v="2024-03-07T00:00:00"/>
        <d v="2024-05-06T00:00:00"/>
        <d v="2023-04-01T00:00:00"/>
        <d v="2023-02-08T00:00:00"/>
        <d v="2023-11-13T00:00:00"/>
        <d v="2024-06-12T00:00:00"/>
        <d v="2023-08-14T00:00:00"/>
        <d v="2023-08-22T00:00:00"/>
        <d v="2023-02-02T00:00:00"/>
        <d v="2023-10-18T00:00:00"/>
        <d v="2024-03-10T00:00:00"/>
        <d v="2024-02-28T00:00:00"/>
        <d v="2024-03-30T00:00:00"/>
        <d v="2024-05-05T00:00:00"/>
        <d v="2023-02-11T00:00:00"/>
        <d v="2023-07-02T00:00:00"/>
        <d v="2023-11-18T00:00:00"/>
        <d v="2024-08-22T00:00:00"/>
        <d v="2023-08-15T00:00:00"/>
        <d v="2023-07-25T00:00:00"/>
        <d v="2023-01-22T00:00:00"/>
        <d v="2024-05-09T00:00:00"/>
        <d v="2024-03-06T00:00:00"/>
        <d v="2023-04-06T00:00:00"/>
        <d v="2023-12-31T00:00:00"/>
        <d v="2024-02-10T00:00:00"/>
        <d v="2023-03-22T00:00:00"/>
        <d v="2024-02-25T00:00:00"/>
        <d v="2023-12-24T00:00:00"/>
        <d v="2024-01-06T00:00:00"/>
        <d v="2023-09-14T00:00:00"/>
        <d v="2023-10-28T00:00:00"/>
        <d v="2023-11-24T00:00:00"/>
        <d v="2024-01-20T00:00:00"/>
        <d v="2024-03-27T00:00:00"/>
        <d v="2023-01-31T00:00:00"/>
        <d v="2023-03-29T00:00:00"/>
        <d v="2023-01-27T00:00:00"/>
        <d v="2023-02-06T00:00:00"/>
        <d v="2023-06-12T00:00:00"/>
        <d v="2023-09-12T00:00:00"/>
        <d v="2023-07-18T00:00:00"/>
        <d v="2023-10-07T00:00:00"/>
        <d v="2024-06-27T00:00:00"/>
        <d v="2023-06-24T00:00:00"/>
        <d v="2024-05-25T00:00:00"/>
        <d v="2023-04-10T00:00:00"/>
        <d v="2024-05-10T00:00:00"/>
        <d v="2024-01-10T00:00:00"/>
        <d v="2023-06-17T00:00:00"/>
        <d v="2023-03-30T00:00:00"/>
        <d v="2023-10-25T00:00:00"/>
        <d v="2023-06-10T00:00:00"/>
        <d v="2024-06-13T00:00:00"/>
        <d v="2024-05-29T00:00:00"/>
        <d v="2024-08-05T00:00:00"/>
        <d v="2023-04-04T00:00:00"/>
        <d v="2024-07-24T00:00:00"/>
        <d v="2023-06-04T00:00:00"/>
        <d v="2024-07-02T00:00:00"/>
        <d v="2024-01-09T00:00:00"/>
        <d v="2024-08-12T00:00:00"/>
        <d v="2024-06-25T00:00:00"/>
        <d v="2024-02-29T00:00:00"/>
        <d v="2023-11-28T00:00:00"/>
        <d v="2024-05-26T00:00:00"/>
        <d v="2024-07-07T00:00:00"/>
        <d v="2023-04-03T00:00:00"/>
        <d v="2023-09-28T00:00:00"/>
        <d v="2024-07-13T00:00:00"/>
        <d v="2023-01-18T00:00:00"/>
        <d v="2023-06-09T00:00:00"/>
        <d v="2024-04-20T00:00:00"/>
        <d v="2024-04-05T00:00:00"/>
        <d v="2024-07-30T00:00:00"/>
        <d v="2024-08-15T00:00:00"/>
        <d v="2023-06-19T00:00:00"/>
        <d v="2024-02-13T00:00:00"/>
        <d v="2024-07-18T00:00:00"/>
        <d v="2024-03-31T00:00:00"/>
        <d v="2024-03-26T00:00:00"/>
        <d v="2023-06-07T00:00:00"/>
        <d v="2023-12-10T00:00:00"/>
        <d v="2023-09-24T00:00:00"/>
        <d v="2023-01-30T00:00:00"/>
        <d v="2024-06-01T00:00:00"/>
        <d v="2023-04-20T00:00:00"/>
        <d v="2024-01-31T00:00:00"/>
        <d v="2023-05-05T00:00:00"/>
        <d v="2023-05-15T00:00:00"/>
        <d v="2023-05-26T00:00:00"/>
        <d v="2023-07-21T00:00:00"/>
        <d v="2023-09-06T00:00:00"/>
        <d v="2023-04-30T00:00:00"/>
        <d v="2023-02-03T00:00:00"/>
        <d v="2024-05-15T00:00:00"/>
        <d v="2023-09-11T00:00:00"/>
        <d v="2023-04-15T00:00:00"/>
        <d v="2023-05-14T00:00:00"/>
        <d v="2023-11-02T00:00:00"/>
        <d v="2023-11-19T00:00:00"/>
        <d v="2024-04-14T00:00:00"/>
        <d v="2024-01-28T00:00:00"/>
        <d v="2024-03-03T00:00:00"/>
        <d v="2023-02-07T00:00:00"/>
        <d v="2024-04-13T00:00:00"/>
        <d v="2024-07-31T00:00:00"/>
        <d v="2024-02-23T00:00:00"/>
        <d v="2023-09-15T00:00:00"/>
        <d v="2023-10-03T00:00:00"/>
        <d v="2024-05-04T00:00:00"/>
        <d v="2024-08-14T00:00:00"/>
        <d v="2023-03-23T00:00:00"/>
        <d v="2023-03-17T00:00:00"/>
        <d v="2024-08-18T00:00:00"/>
        <d v="2023-02-16T00:00:00"/>
        <d v="2024-06-10T00:00:00"/>
        <d v="2023-10-02T00:00:00"/>
        <d v="2023-04-11T00:00:00"/>
        <d v="2023-07-01T00:00:00"/>
        <d v="2023-12-14T00:00:00"/>
        <d v="2023-05-10T00:00:00"/>
        <d v="2023-05-09T00:00:00"/>
        <d v="2024-08-23T00:00:00"/>
        <d v="2024-05-01T00:00:00"/>
        <d v="2023-08-20T00:00:00"/>
        <d v="2024-04-02T00:00:00"/>
        <d v="2023-03-12T00:00:00"/>
        <d v="2023-04-27T00:00:00"/>
        <d v="2023-10-31T00:00:00"/>
        <d v="2023-05-01T00:00:00"/>
        <d v="2024-05-13T00:00:00"/>
        <d v="2023-03-20T00:00:00"/>
        <d v="2024-06-21T00:00:00"/>
        <d v="2023-10-22T00:00:00"/>
        <d v="2024-08-01T00:00:00"/>
        <d v="2023-08-21T00:00:00"/>
        <d v="2023-08-04T00:00:00"/>
        <d v="2024-07-16T00:00:00"/>
        <d v="2023-08-31T00:00:00"/>
        <d v="2023-03-19T00:00:00"/>
        <d v="2024-06-18T00:00:00"/>
        <d v="2023-11-06T00:00:00"/>
        <d v="2023-04-05T00:00:00"/>
        <d v="2024-06-09T00:00:00"/>
        <d v="2024-04-06T00:00:00"/>
        <d v="2023-01-05T00:00:00"/>
        <d v="2023-10-05T00:00:00"/>
        <d v="2024-05-16T00:00:00"/>
        <d v="2023-02-14T00:00:00"/>
        <d v="2024-06-26T00:00:00"/>
        <d v="2024-01-04T00:00:00"/>
        <d v="2023-06-15T00:00:00"/>
        <d v="2024-03-13T00:00:00"/>
        <d v="2024-05-23T00:00:00"/>
        <d v="2023-07-30T00:00:00"/>
        <d v="2024-04-17T00:00:00"/>
        <d v="2023-10-27T00:00:00"/>
        <d v="2024-03-16T00:00:00"/>
        <d v="2023-10-20T00:00:00"/>
        <d v="2023-11-03T00:00:00"/>
        <d v="2023-08-10T00:00:00"/>
        <d v="2023-09-01T00:00:00"/>
        <d v="2023-08-11T00:00:00"/>
        <d v="2024-01-25T00:00:00"/>
        <d v="2023-05-21T00:00:00"/>
        <d v="2023-03-31T00:00:00"/>
        <d v="2023-05-30T00:00:00"/>
        <d v="2023-05-22T00:00:00"/>
        <d v="2023-01-26T00:00:00"/>
        <d v="2023-11-15T00:00:00"/>
        <d v="2023-11-20T00:00:00"/>
        <d v="2024-02-02T00:00:00"/>
        <d v="2023-12-09T00:00:00"/>
        <d v="2023-12-16T00:00:00"/>
        <d v="2023-12-13T00:00:00"/>
        <d v="2023-12-29T00:00:00"/>
        <d v="2024-08-06T00:00:00"/>
        <d v="2023-12-12T00:00:00"/>
        <d v="2024-08-11T00:00:00"/>
        <d v="2024-06-05T00:00:00"/>
        <d v="2024-02-16T00:00:00"/>
        <d v="2024-01-12T00:00:00"/>
        <d v="2023-07-14T00:00:00"/>
        <d v="2023-06-01T00:00:00"/>
        <d v="2024-02-09T00:00:00"/>
        <d v="2024-06-30T00:00:00"/>
        <d v="2023-06-25T00:00:00"/>
        <d v="2023-06-03T00:00:00"/>
        <d v="2023-10-23T00:00:00"/>
        <d v="2024-08-16T00:00:00"/>
        <d v="2024-05-21T00:00:00"/>
        <d v="2023-11-21T00:00:00"/>
        <d v="2023-09-26T00:00:00"/>
        <d v="2023-10-24T00:00:00"/>
        <d v="2023-10-10T00:00:00"/>
        <d v="2024-03-02T00:00:00"/>
        <d v="2023-07-28T00:00:00"/>
        <d v="2024-02-21T00:00:00"/>
        <d v="2023-06-26T00:00:00"/>
        <d v="2023-03-05T00:00:00"/>
        <d v="2023-12-26T00:00:00"/>
        <d v="2024-06-19T00:00:00"/>
        <d v="2024-07-11T00:00:00"/>
        <d v="2024-01-16T00:00:00"/>
        <d v="2023-06-21T00:00:00"/>
        <d v="2023-01-03T00:00:00"/>
        <d v="2023-07-19T00:00:00"/>
        <d v="2024-02-03T00:00:00"/>
        <d v="2024-03-22T00:00:00"/>
        <d v="2024-03-21T00:00:00"/>
        <d v="2023-08-25T00:00:00"/>
        <d v="2024-06-11T00:00:00"/>
        <d v="2023-06-11T00:00:00"/>
        <d v="2024-02-17T00:00:00"/>
        <d v="2023-01-10T00:00:00"/>
        <d v="2023-05-20T00:00:00"/>
        <d v="2023-01-23T00:00:00"/>
        <d v="2024-04-12T00:00:00"/>
        <d v="2024-04-07T00:00:00"/>
        <d v="2024-02-19T00:00:00"/>
        <d v="2023-06-30T00:00:00"/>
        <d v="2023-08-27T00:00:00"/>
        <d v="2024-07-25T00:00:00"/>
        <d v="2024-01-29T00:00:00"/>
        <d v="2023-01-06T00:00:00"/>
        <d v="2023-03-04T00:00:00"/>
        <d v="2023-09-13T00:00:00"/>
        <d v="2023-08-02T00:00:00"/>
        <d v="2024-01-18T00:00:00"/>
        <d v="2023-02-26T00:00:00"/>
        <d v="2024-03-19T00:00:00"/>
        <d v="2023-05-07T00:00:00"/>
        <d v="2023-02-05T00:00:00"/>
        <d v="2024-07-28T00:00:00"/>
        <d v="2024-07-20T00:00:00"/>
        <d v="2024-06-20T00:00:00"/>
      </sharedItems>
      <fieldGroup par="10" base="3">
        <rangePr groupBy="months" startDate="2023-01-01T00:00:00" endDate="2024-08-24T00:00:00"/>
        <groupItems count="14">
          <s v="&lt;1/1/2023"/>
          <s v="Jan"/>
          <s v="Feb"/>
          <s v="Mar"/>
          <s v="Apr"/>
          <s v="May"/>
          <s v="Jun"/>
          <s v="Jul"/>
          <s v="Aug"/>
          <s v="Sep"/>
          <s v="Oct"/>
          <s v="Nov"/>
          <s v="Dec"/>
          <s v="&gt;8/24/2024"/>
        </groupItems>
      </fieldGroup>
    </cacheField>
    <cacheField name="Allowed Amount" numFmtId="0">
      <sharedItems containsSemiMixedTypes="0" containsString="0" containsNumber="1" containsInteger="1" minValue="100" maxValue="998"/>
    </cacheField>
    <cacheField name="Adjustment Amount" numFmtId="0">
      <sharedItems containsSemiMixedTypes="0" containsString="0" containsNumber="1" containsInteger="1" minValue="0" maxValue="961"/>
    </cacheField>
    <cacheField name="Paid Amount" numFmtId="0">
      <sharedItems containsSemiMixedTypes="0" containsString="0" containsNumber="1" containsInteger="1" minValue="0" maxValue="994"/>
    </cacheField>
    <cacheField name="Denial Status" numFmtId="0">
      <sharedItems count="2">
        <s v="Paid"/>
        <s v="Denied"/>
      </sharedItems>
    </cacheField>
    <cacheField name="Insurance Name" numFmtId="0">
      <sharedItems count="6">
        <s v="United Health"/>
        <s v="Blue Cross"/>
        <s v="Medicare"/>
        <s v="Cigna"/>
        <s v="Aetna"/>
        <s v="Medicaid"/>
      </sharedItems>
    </cacheField>
    <cacheField name="Quarters" numFmtId="0" databaseField="0">
      <fieldGroup base="3">
        <rangePr groupBy="quarters" startDate="2023-01-01T00:00:00" endDate="2024-08-24T00:00:00"/>
        <groupItems count="6">
          <s v="&lt;1/1/2023"/>
          <s v="Qtr1"/>
          <s v="Qtr2"/>
          <s v="Qtr3"/>
          <s v="Qtr4"/>
          <s v="&gt;8/24/2024"/>
        </groupItems>
      </fieldGroup>
    </cacheField>
    <cacheField name="Years" numFmtId="0" databaseField="0">
      <fieldGroup base="3">
        <rangePr groupBy="years" startDate="2023-01-01T00:00:00" endDate="2024-08-24T00:00:00"/>
        <groupItems count="4">
          <s v="&lt;1/1/2023"/>
          <s v="2023"/>
          <s v="2024"/>
          <s v="&gt;8/24/2024"/>
        </groupItems>
      </fieldGroup>
    </cacheField>
  </cacheFields>
  <extLst>
    <ext xmlns:x14="http://schemas.microsoft.com/office/spreadsheetml/2009/9/main" uri="{725AE2AE-9491-48be-B2B4-4EB974FC3084}">
      <x14:pivotCacheDefinition pivotCacheId="1501797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ACC000001"/>
    <s v="John Harris"/>
    <s v="36415"/>
    <x v="0"/>
    <n v="639"/>
    <n v="552"/>
    <n v="87"/>
    <x v="0"/>
    <x v="0"/>
  </r>
  <r>
    <s v="ACC000002"/>
    <s v="David Taylor"/>
    <s v="99214"/>
    <x v="1"/>
    <n v="520"/>
    <n v="329"/>
    <n v="191"/>
    <x v="0"/>
    <x v="0"/>
  </r>
  <r>
    <s v="ACC000003"/>
    <s v="Robert Harris"/>
    <s v="99213"/>
    <x v="2"/>
    <n v="921"/>
    <n v="907"/>
    <n v="14"/>
    <x v="0"/>
    <x v="1"/>
  </r>
  <r>
    <s v="ACC000004"/>
    <s v="David Lewis"/>
    <s v="93000"/>
    <x v="3"/>
    <n v="773"/>
    <n v="136"/>
    <n v="637"/>
    <x v="0"/>
    <x v="2"/>
  </r>
  <r>
    <s v="ACC000005"/>
    <s v="Charles Taylor"/>
    <s v="80050"/>
    <x v="4"/>
    <n v="181"/>
    <n v="152"/>
    <n v="29"/>
    <x v="0"/>
    <x v="3"/>
  </r>
  <r>
    <s v="ACC000006"/>
    <s v="John Clark"/>
    <s v="71020"/>
    <x v="5"/>
    <n v="386"/>
    <n v="116"/>
    <n v="270"/>
    <x v="0"/>
    <x v="4"/>
  </r>
  <r>
    <s v="ACC000007"/>
    <s v="David Brown"/>
    <s v="71020"/>
    <x v="6"/>
    <n v="215"/>
    <n v="201"/>
    <n v="14"/>
    <x v="0"/>
    <x v="0"/>
  </r>
  <r>
    <s v="ACC000008"/>
    <s v="Joseph Johnson"/>
    <s v="93000"/>
    <x v="7"/>
    <n v="422"/>
    <n v="131"/>
    <n v="291"/>
    <x v="0"/>
    <x v="2"/>
  </r>
  <r>
    <s v="ACC000009"/>
    <s v="James Johnson"/>
    <s v="80050"/>
    <x v="8"/>
    <n v="295"/>
    <n v="290"/>
    <n v="5"/>
    <x v="0"/>
    <x v="3"/>
  </r>
  <r>
    <s v="ACC000010"/>
    <s v="Daniel Walker"/>
    <s v="99213"/>
    <x v="9"/>
    <n v="636"/>
    <n v="501"/>
    <n v="135"/>
    <x v="0"/>
    <x v="0"/>
  </r>
  <r>
    <s v="ACC000011"/>
    <s v="Daniel Taylor"/>
    <s v="99213"/>
    <x v="10"/>
    <n v="622"/>
    <n v="55"/>
    <n v="567"/>
    <x v="0"/>
    <x v="0"/>
  </r>
  <r>
    <s v="ACC000012"/>
    <s v="Robert Lewis"/>
    <s v="99213"/>
    <x v="11"/>
    <n v="135"/>
    <n v="32"/>
    <n v="103"/>
    <x v="0"/>
    <x v="5"/>
  </r>
  <r>
    <s v="ACC000013"/>
    <s v="James Johnson"/>
    <s v="99213"/>
    <x v="12"/>
    <n v="150"/>
    <n v="148"/>
    <n v="2"/>
    <x v="0"/>
    <x v="3"/>
  </r>
  <r>
    <s v="ACC000014"/>
    <s v="John Brown"/>
    <s v="71020"/>
    <x v="13"/>
    <n v="683"/>
    <n v="587"/>
    <n v="96"/>
    <x v="0"/>
    <x v="1"/>
  </r>
  <r>
    <s v="ACC000015"/>
    <s v="Daniel Brown"/>
    <s v="80050"/>
    <x v="14"/>
    <n v="286"/>
    <n v="19"/>
    <n v="267"/>
    <x v="0"/>
    <x v="4"/>
  </r>
  <r>
    <s v="ACC000016"/>
    <s v="Robert Lewis"/>
    <s v="93000"/>
    <x v="15"/>
    <n v="169"/>
    <n v="81"/>
    <n v="88"/>
    <x v="0"/>
    <x v="5"/>
  </r>
  <r>
    <s v="ACC000017"/>
    <s v="John Clark"/>
    <s v="80050"/>
    <x v="16"/>
    <n v="135"/>
    <n v="126"/>
    <n v="9"/>
    <x v="0"/>
    <x v="0"/>
  </r>
  <r>
    <s v="ACC000018"/>
    <s v="Robert Walker"/>
    <s v="93000"/>
    <x v="17"/>
    <n v="157"/>
    <n v="141"/>
    <n v="16"/>
    <x v="0"/>
    <x v="3"/>
  </r>
  <r>
    <s v="ACC000019"/>
    <s v="Thomas Walker"/>
    <s v="99214"/>
    <x v="18"/>
    <n v="519"/>
    <n v="85"/>
    <n v="434"/>
    <x v="0"/>
    <x v="5"/>
  </r>
  <r>
    <s v="ACC000020"/>
    <s v="David Lewis"/>
    <s v="80050"/>
    <x v="19"/>
    <n v="276"/>
    <n v="85"/>
    <n v="191"/>
    <x v="0"/>
    <x v="4"/>
  </r>
  <r>
    <s v="ACC000021"/>
    <s v="Michael Clark"/>
    <s v="99213"/>
    <x v="20"/>
    <n v="274"/>
    <n v="32"/>
    <n v="242"/>
    <x v="0"/>
    <x v="1"/>
  </r>
  <r>
    <s v="ACC000022"/>
    <s v="Thomas Johnson"/>
    <s v="99214"/>
    <x v="21"/>
    <n v="419"/>
    <n v="307"/>
    <n v="112"/>
    <x v="0"/>
    <x v="5"/>
  </r>
  <r>
    <s v="ACC000023"/>
    <s v="James Walker"/>
    <s v="36415"/>
    <x v="22"/>
    <n v="423"/>
    <n v="30"/>
    <n v="393"/>
    <x v="0"/>
    <x v="2"/>
  </r>
  <r>
    <s v="ACC000024"/>
    <s v="Thomas Smith"/>
    <s v="80050"/>
    <x v="23"/>
    <n v="702"/>
    <n v="532"/>
    <n v="170"/>
    <x v="0"/>
    <x v="2"/>
  </r>
  <r>
    <s v="ACC000025"/>
    <s v="Thomas Clark"/>
    <s v="80050"/>
    <x v="24"/>
    <n v="268"/>
    <n v="19"/>
    <n v="249"/>
    <x v="0"/>
    <x v="0"/>
  </r>
  <r>
    <s v="ACC000026"/>
    <s v="David Lewis"/>
    <s v="93000"/>
    <x v="25"/>
    <n v="425"/>
    <n v="319"/>
    <n v="106"/>
    <x v="0"/>
    <x v="0"/>
  </r>
  <r>
    <s v="ACC000027"/>
    <s v="Daniel Hall"/>
    <s v="99213"/>
    <x v="26"/>
    <n v="557"/>
    <n v="228"/>
    <n v="329"/>
    <x v="0"/>
    <x v="4"/>
  </r>
  <r>
    <s v="ACC000028"/>
    <s v="James Taylor"/>
    <s v="99214"/>
    <x v="27"/>
    <n v="831"/>
    <n v="187"/>
    <n v="644"/>
    <x v="0"/>
    <x v="4"/>
  </r>
  <r>
    <s v="ACC000029"/>
    <s v="Michael Clark"/>
    <s v="93000"/>
    <x v="16"/>
    <n v="241"/>
    <n v="163"/>
    <n v="78"/>
    <x v="0"/>
    <x v="5"/>
  </r>
  <r>
    <s v="ACC000030"/>
    <s v="Thomas Smith"/>
    <s v="36415"/>
    <x v="28"/>
    <n v="782"/>
    <n v="461"/>
    <n v="321"/>
    <x v="0"/>
    <x v="1"/>
  </r>
  <r>
    <s v="ACC000031"/>
    <s v="John Anderson"/>
    <s v="71020"/>
    <x v="29"/>
    <n v="485"/>
    <n v="159"/>
    <n v="326"/>
    <x v="0"/>
    <x v="5"/>
  </r>
  <r>
    <s v="ACC000032"/>
    <s v="James Harris"/>
    <s v="71020"/>
    <x v="30"/>
    <n v="812"/>
    <n v="375"/>
    <n v="437"/>
    <x v="0"/>
    <x v="2"/>
  </r>
  <r>
    <s v="ACC000033"/>
    <s v="David Anderson"/>
    <s v="71020"/>
    <x v="31"/>
    <n v="157"/>
    <n v="92"/>
    <n v="65"/>
    <x v="0"/>
    <x v="4"/>
  </r>
  <r>
    <s v="ACC000034"/>
    <s v="David Anderson"/>
    <s v="80050"/>
    <x v="32"/>
    <n v="363"/>
    <n v="52"/>
    <n v="311"/>
    <x v="0"/>
    <x v="0"/>
  </r>
  <r>
    <s v="ACC000035"/>
    <s v="James Smith"/>
    <s v="93000"/>
    <x v="33"/>
    <n v="103"/>
    <n v="57"/>
    <n v="46"/>
    <x v="0"/>
    <x v="0"/>
  </r>
  <r>
    <s v="ACC000036"/>
    <s v="Charles Anderson"/>
    <s v="71020"/>
    <x v="34"/>
    <n v="452"/>
    <n v="407"/>
    <n v="45"/>
    <x v="0"/>
    <x v="5"/>
  </r>
  <r>
    <s v="ACC000037"/>
    <s v="David Smith"/>
    <s v="99214"/>
    <x v="35"/>
    <n v="677"/>
    <n v="380"/>
    <n v="297"/>
    <x v="0"/>
    <x v="1"/>
  </r>
  <r>
    <s v="ACC000038"/>
    <s v="William Smith"/>
    <s v="36415"/>
    <x v="36"/>
    <n v="549"/>
    <n v="292"/>
    <n v="257"/>
    <x v="0"/>
    <x v="5"/>
  </r>
  <r>
    <s v="ACC000039"/>
    <s v="Thomas Anderson"/>
    <s v="36415"/>
    <x v="37"/>
    <n v="653"/>
    <n v="205"/>
    <n v="448"/>
    <x v="0"/>
    <x v="1"/>
  </r>
  <r>
    <s v="ACC000040"/>
    <s v="Thomas Hall"/>
    <s v="36415"/>
    <x v="38"/>
    <n v="766"/>
    <n v="55"/>
    <n v="711"/>
    <x v="0"/>
    <x v="2"/>
  </r>
  <r>
    <s v="ACC000041"/>
    <s v="James Walker"/>
    <s v="80050"/>
    <x v="39"/>
    <n v="965"/>
    <n v="107"/>
    <n v="858"/>
    <x v="0"/>
    <x v="4"/>
  </r>
  <r>
    <s v="ACC000042"/>
    <s v="John Walker"/>
    <s v="99214"/>
    <x v="33"/>
    <n v="164"/>
    <n v="141"/>
    <n v="23"/>
    <x v="0"/>
    <x v="3"/>
  </r>
  <r>
    <s v="ACC000043"/>
    <s v="Thomas Anderson"/>
    <s v="93000"/>
    <x v="40"/>
    <n v="249"/>
    <n v="237"/>
    <n v="12"/>
    <x v="0"/>
    <x v="0"/>
  </r>
  <r>
    <s v="ACC000044"/>
    <s v="James Lewis"/>
    <s v="36415"/>
    <x v="41"/>
    <n v="179"/>
    <n v="174"/>
    <n v="5"/>
    <x v="0"/>
    <x v="5"/>
  </r>
  <r>
    <s v="ACC000045"/>
    <s v="Joseph Johnson"/>
    <s v="71020"/>
    <x v="29"/>
    <n v="595"/>
    <n v="576"/>
    <n v="19"/>
    <x v="0"/>
    <x v="2"/>
  </r>
  <r>
    <s v="ACC000046"/>
    <s v="Charles Anderson"/>
    <s v="99213"/>
    <x v="42"/>
    <n v="307"/>
    <n v="130"/>
    <n v="177"/>
    <x v="0"/>
    <x v="3"/>
  </r>
  <r>
    <s v="ACC000047"/>
    <s v="William Harris"/>
    <s v="71020"/>
    <x v="43"/>
    <n v="965"/>
    <n v="668"/>
    <n v="297"/>
    <x v="0"/>
    <x v="4"/>
  </r>
  <r>
    <s v="ACC000048"/>
    <s v="James Johnson"/>
    <s v="71020"/>
    <x v="44"/>
    <n v="905"/>
    <n v="155"/>
    <n v="750"/>
    <x v="0"/>
    <x v="4"/>
  </r>
  <r>
    <s v="ACC000049"/>
    <s v="Joseph Hall"/>
    <s v="99213"/>
    <x v="45"/>
    <n v="516"/>
    <n v="498"/>
    <n v="18"/>
    <x v="0"/>
    <x v="0"/>
  </r>
  <r>
    <s v="ACC000050"/>
    <s v="Daniel Walker"/>
    <s v="71020"/>
    <x v="46"/>
    <n v="193"/>
    <n v="168"/>
    <n v="25"/>
    <x v="0"/>
    <x v="1"/>
  </r>
  <r>
    <s v="ACC000051"/>
    <s v="Robert Johnson"/>
    <s v="36415"/>
    <x v="47"/>
    <n v="417"/>
    <n v="238"/>
    <n v="179"/>
    <x v="0"/>
    <x v="0"/>
  </r>
  <r>
    <s v="ACC000052"/>
    <s v="Joseph Anderson"/>
    <s v="36415"/>
    <x v="48"/>
    <n v="141"/>
    <n v="127"/>
    <n v="14"/>
    <x v="0"/>
    <x v="4"/>
  </r>
  <r>
    <s v="ACC000053"/>
    <s v="Daniel Harris"/>
    <s v="80050"/>
    <x v="49"/>
    <n v="940"/>
    <n v="531"/>
    <n v="409"/>
    <x v="0"/>
    <x v="1"/>
  </r>
  <r>
    <s v="ACC000054"/>
    <s v="Michael Smith"/>
    <s v="93000"/>
    <x v="50"/>
    <n v="346"/>
    <n v="150"/>
    <n v="196"/>
    <x v="0"/>
    <x v="4"/>
  </r>
  <r>
    <s v="ACC000055"/>
    <s v="David Smith"/>
    <s v="80050"/>
    <x v="51"/>
    <n v="990"/>
    <n v="221"/>
    <n v="769"/>
    <x v="0"/>
    <x v="4"/>
  </r>
  <r>
    <s v="ACC000056"/>
    <s v="Michael Johnson"/>
    <s v="99213"/>
    <x v="52"/>
    <n v="793"/>
    <n v="85"/>
    <n v="708"/>
    <x v="0"/>
    <x v="3"/>
  </r>
  <r>
    <s v="ACC000057"/>
    <s v="William Harris"/>
    <s v="93000"/>
    <x v="53"/>
    <n v="842"/>
    <n v="24"/>
    <n v="818"/>
    <x v="0"/>
    <x v="0"/>
  </r>
  <r>
    <s v="ACC000058"/>
    <s v="Joseph Johnson"/>
    <s v="71020"/>
    <x v="42"/>
    <n v="424"/>
    <n v="132"/>
    <n v="292"/>
    <x v="0"/>
    <x v="5"/>
  </r>
  <r>
    <s v="ACC000059"/>
    <s v="James Johnson"/>
    <s v="36415"/>
    <x v="54"/>
    <n v="587"/>
    <n v="290"/>
    <n v="297"/>
    <x v="0"/>
    <x v="0"/>
  </r>
  <r>
    <s v="ACC000060"/>
    <s v="Thomas Anderson"/>
    <s v="80050"/>
    <x v="55"/>
    <n v="100"/>
    <n v="77"/>
    <n v="23"/>
    <x v="0"/>
    <x v="1"/>
  </r>
  <r>
    <s v="ACC000061"/>
    <s v="William Smith"/>
    <s v="99213"/>
    <x v="40"/>
    <n v="492"/>
    <n v="9"/>
    <n v="483"/>
    <x v="0"/>
    <x v="1"/>
  </r>
  <r>
    <s v="ACC000062"/>
    <s v="Robert Hall"/>
    <s v="99214"/>
    <x v="0"/>
    <n v="971"/>
    <n v="346"/>
    <n v="625"/>
    <x v="0"/>
    <x v="0"/>
  </r>
  <r>
    <s v="ACC000063"/>
    <s v="William Walker"/>
    <s v="71020"/>
    <x v="56"/>
    <n v="763"/>
    <n v="103"/>
    <n v="660"/>
    <x v="0"/>
    <x v="2"/>
  </r>
  <r>
    <s v="ACC000064"/>
    <s v="Michael Smith"/>
    <s v="80050"/>
    <x v="57"/>
    <n v="605"/>
    <n v="50"/>
    <n v="555"/>
    <x v="0"/>
    <x v="0"/>
  </r>
  <r>
    <s v="ACC000065"/>
    <s v="Michael Anderson"/>
    <s v="93000"/>
    <x v="58"/>
    <n v="244"/>
    <n v="116"/>
    <n v="128"/>
    <x v="0"/>
    <x v="1"/>
  </r>
  <r>
    <s v="ACC000066"/>
    <s v="Daniel Lewis"/>
    <s v="80050"/>
    <x v="59"/>
    <n v="229"/>
    <n v="208"/>
    <n v="21"/>
    <x v="0"/>
    <x v="4"/>
  </r>
  <r>
    <s v="ACC000067"/>
    <s v="Charles Clark"/>
    <s v="99214"/>
    <x v="60"/>
    <n v="628"/>
    <n v="366"/>
    <n v="262"/>
    <x v="0"/>
    <x v="1"/>
  </r>
  <r>
    <s v="ACC000068"/>
    <s v="Thomas Lewis"/>
    <s v="71020"/>
    <x v="61"/>
    <n v="281"/>
    <n v="277"/>
    <n v="4"/>
    <x v="0"/>
    <x v="0"/>
  </r>
  <r>
    <s v="ACC000069"/>
    <s v="David Hall"/>
    <s v="36415"/>
    <x v="62"/>
    <n v="617"/>
    <n v="360"/>
    <n v="257"/>
    <x v="0"/>
    <x v="2"/>
  </r>
  <r>
    <s v="ACC000070"/>
    <s v="John Hall"/>
    <s v="93000"/>
    <x v="59"/>
    <n v="532"/>
    <n v="40"/>
    <n v="492"/>
    <x v="0"/>
    <x v="1"/>
  </r>
  <r>
    <s v="ACC000071"/>
    <s v="John Clark"/>
    <s v="93000"/>
    <x v="63"/>
    <n v="778"/>
    <n v="556"/>
    <n v="222"/>
    <x v="0"/>
    <x v="1"/>
  </r>
  <r>
    <s v="ACC000072"/>
    <s v="Michael Taylor"/>
    <s v="93000"/>
    <x v="64"/>
    <n v="423"/>
    <n v="141"/>
    <n v="282"/>
    <x v="0"/>
    <x v="1"/>
  </r>
  <r>
    <s v="ACC000073"/>
    <s v="Joseph Clark"/>
    <s v="80050"/>
    <x v="65"/>
    <n v="979"/>
    <n v="617"/>
    <n v="362"/>
    <x v="0"/>
    <x v="4"/>
  </r>
  <r>
    <s v="ACC000074"/>
    <s v="Charles Harris"/>
    <s v="36415"/>
    <x v="66"/>
    <n v="378"/>
    <n v="79"/>
    <n v="299"/>
    <x v="0"/>
    <x v="4"/>
  </r>
  <r>
    <s v="ACC000075"/>
    <s v="Robert Harris"/>
    <s v="80050"/>
    <x v="67"/>
    <n v="207"/>
    <n v="111"/>
    <n v="96"/>
    <x v="0"/>
    <x v="4"/>
  </r>
  <r>
    <s v="ACC000076"/>
    <s v="John Taylor"/>
    <s v="71020"/>
    <x v="68"/>
    <n v="615"/>
    <n v="604"/>
    <n v="11"/>
    <x v="0"/>
    <x v="5"/>
  </r>
  <r>
    <s v="ACC000077"/>
    <s v="David Brown"/>
    <s v="71020"/>
    <x v="69"/>
    <n v="645"/>
    <n v="345"/>
    <n v="300"/>
    <x v="0"/>
    <x v="5"/>
  </r>
  <r>
    <s v="ACC000078"/>
    <s v="David Anderson"/>
    <s v="80050"/>
    <x v="70"/>
    <n v="824"/>
    <n v="176"/>
    <n v="648"/>
    <x v="0"/>
    <x v="0"/>
  </r>
  <r>
    <s v="ACC000079"/>
    <s v="James Johnson"/>
    <s v="36415"/>
    <x v="71"/>
    <n v="155"/>
    <n v="151"/>
    <n v="4"/>
    <x v="0"/>
    <x v="0"/>
  </r>
  <r>
    <s v="ACC000080"/>
    <s v="James Brown"/>
    <s v="93000"/>
    <x v="72"/>
    <n v="390"/>
    <n v="281"/>
    <n v="109"/>
    <x v="0"/>
    <x v="2"/>
  </r>
  <r>
    <s v="ACC000081"/>
    <s v="David Clark"/>
    <s v="71020"/>
    <x v="73"/>
    <n v="134"/>
    <n v="79"/>
    <n v="55"/>
    <x v="0"/>
    <x v="1"/>
  </r>
  <r>
    <s v="ACC000082"/>
    <s v="Joseph Harris"/>
    <s v="99214"/>
    <x v="74"/>
    <n v="451"/>
    <n v="119"/>
    <n v="332"/>
    <x v="0"/>
    <x v="2"/>
  </r>
  <r>
    <s v="ACC000083"/>
    <s v="Michael Walker"/>
    <s v="99213"/>
    <x v="75"/>
    <n v="470"/>
    <n v="367"/>
    <n v="103"/>
    <x v="0"/>
    <x v="3"/>
  </r>
  <r>
    <s v="ACC000084"/>
    <s v="Thomas Hall"/>
    <s v="80050"/>
    <x v="76"/>
    <n v="474"/>
    <n v="61"/>
    <n v="413"/>
    <x v="0"/>
    <x v="1"/>
  </r>
  <r>
    <s v="ACC000085"/>
    <s v="David Taylor"/>
    <s v="71020"/>
    <x v="77"/>
    <n v="600"/>
    <n v="11"/>
    <n v="589"/>
    <x v="0"/>
    <x v="0"/>
  </r>
  <r>
    <s v="ACC000086"/>
    <s v="James Johnson"/>
    <s v="36415"/>
    <x v="78"/>
    <n v="156"/>
    <n v="156"/>
    <n v="0"/>
    <x v="1"/>
    <x v="5"/>
  </r>
  <r>
    <s v="ACC000087"/>
    <s v="Robert Harris"/>
    <s v="71020"/>
    <x v="71"/>
    <n v="744"/>
    <n v="595"/>
    <n v="149"/>
    <x v="0"/>
    <x v="2"/>
  </r>
  <r>
    <s v="ACC000088"/>
    <s v="Joseph Lewis"/>
    <s v="99214"/>
    <x v="79"/>
    <n v="114"/>
    <n v="55"/>
    <n v="59"/>
    <x v="0"/>
    <x v="1"/>
  </r>
  <r>
    <s v="ACC000089"/>
    <s v="David Lewis"/>
    <s v="36415"/>
    <x v="80"/>
    <n v="231"/>
    <n v="44"/>
    <n v="187"/>
    <x v="0"/>
    <x v="1"/>
  </r>
  <r>
    <s v="ACC000090"/>
    <s v="David Harris"/>
    <s v="99213"/>
    <x v="81"/>
    <n v="819"/>
    <n v="803"/>
    <n v="16"/>
    <x v="0"/>
    <x v="1"/>
  </r>
  <r>
    <s v="ACC000091"/>
    <s v="Joseph Hall"/>
    <s v="99213"/>
    <x v="82"/>
    <n v="454"/>
    <n v="190"/>
    <n v="264"/>
    <x v="0"/>
    <x v="5"/>
  </r>
  <r>
    <s v="ACC000092"/>
    <s v="Charles Harris"/>
    <s v="71020"/>
    <x v="83"/>
    <n v="450"/>
    <n v="191"/>
    <n v="259"/>
    <x v="0"/>
    <x v="2"/>
  </r>
  <r>
    <s v="ACC000093"/>
    <s v="Joseph Smith"/>
    <s v="99214"/>
    <x v="84"/>
    <n v="440"/>
    <n v="429"/>
    <n v="11"/>
    <x v="0"/>
    <x v="5"/>
  </r>
  <r>
    <s v="ACC000094"/>
    <s v="Joseph Smith"/>
    <s v="71020"/>
    <x v="85"/>
    <n v="349"/>
    <n v="190"/>
    <n v="159"/>
    <x v="0"/>
    <x v="5"/>
  </r>
  <r>
    <s v="ACC000095"/>
    <s v="James Clark"/>
    <s v="36415"/>
    <x v="86"/>
    <n v="808"/>
    <n v="590"/>
    <n v="218"/>
    <x v="0"/>
    <x v="2"/>
  </r>
  <r>
    <s v="ACC000096"/>
    <s v="Charles Clark"/>
    <s v="36415"/>
    <x v="87"/>
    <n v="818"/>
    <n v="245"/>
    <n v="573"/>
    <x v="0"/>
    <x v="0"/>
  </r>
  <r>
    <s v="ACC000097"/>
    <s v="Charles Harris"/>
    <s v="99214"/>
    <x v="88"/>
    <n v="801"/>
    <n v="188"/>
    <n v="613"/>
    <x v="0"/>
    <x v="2"/>
  </r>
  <r>
    <s v="ACC000098"/>
    <s v="William Harris"/>
    <s v="36415"/>
    <x v="89"/>
    <n v="567"/>
    <n v="255"/>
    <n v="312"/>
    <x v="0"/>
    <x v="2"/>
  </r>
  <r>
    <s v="ACC000099"/>
    <s v="Joseph Johnson"/>
    <s v="80050"/>
    <x v="90"/>
    <n v="938"/>
    <n v="387"/>
    <n v="551"/>
    <x v="0"/>
    <x v="3"/>
  </r>
  <r>
    <s v="ACC000100"/>
    <s v="James Anderson"/>
    <s v="71020"/>
    <x v="91"/>
    <n v="710"/>
    <n v="698"/>
    <n v="12"/>
    <x v="0"/>
    <x v="4"/>
  </r>
  <r>
    <s v="ACC000101"/>
    <s v="William Hall"/>
    <s v="71020"/>
    <x v="92"/>
    <n v="236"/>
    <n v="8"/>
    <n v="228"/>
    <x v="0"/>
    <x v="1"/>
  </r>
  <r>
    <s v="ACC000102"/>
    <s v="Thomas Lewis"/>
    <s v="80050"/>
    <x v="93"/>
    <n v="253"/>
    <n v="213"/>
    <n v="40"/>
    <x v="0"/>
    <x v="5"/>
  </r>
  <r>
    <s v="ACC000103"/>
    <s v="David Walker"/>
    <s v="99214"/>
    <x v="5"/>
    <n v="277"/>
    <n v="199"/>
    <n v="78"/>
    <x v="0"/>
    <x v="4"/>
  </r>
  <r>
    <s v="ACC000104"/>
    <s v="James Taylor"/>
    <s v="99213"/>
    <x v="94"/>
    <n v="499"/>
    <n v="6"/>
    <n v="493"/>
    <x v="0"/>
    <x v="0"/>
  </r>
  <r>
    <s v="ACC000105"/>
    <s v="John Johnson"/>
    <s v="93000"/>
    <x v="95"/>
    <n v="526"/>
    <n v="360"/>
    <n v="166"/>
    <x v="0"/>
    <x v="1"/>
  </r>
  <r>
    <s v="ACC000106"/>
    <s v="Robert Lewis"/>
    <s v="99213"/>
    <x v="96"/>
    <n v="970"/>
    <n v="133"/>
    <n v="837"/>
    <x v="0"/>
    <x v="3"/>
  </r>
  <r>
    <s v="ACC000107"/>
    <s v="William Johnson"/>
    <s v="71020"/>
    <x v="97"/>
    <n v="292"/>
    <n v="56"/>
    <n v="236"/>
    <x v="0"/>
    <x v="4"/>
  </r>
  <r>
    <s v="ACC000108"/>
    <s v="Thomas Hall"/>
    <s v="71020"/>
    <x v="98"/>
    <n v="799"/>
    <n v="155"/>
    <n v="644"/>
    <x v="0"/>
    <x v="3"/>
  </r>
  <r>
    <s v="ACC000109"/>
    <s v="Michael Anderson"/>
    <s v="80050"/>
    <x v="99"/>
    <n v="486"/>
    <n v="268"/>
    <n v="218"/>
    <x v="0"/>
    <x v="5"/>
  </r>
  <r>
    <s v="ACC000110"/>
    <s v="John Harris"/>
    <s v="71020"/>
    <x v="100"/>
    <n v="137"/>
    <n v="76"/>
    <n v="61"/>
    <x v="0"/>
    <x v="3"/>
  </r>
  <r>
    <s v="ACC000111"/>
    <s v="Charles Clark"/>
    <s v="36415"/>
    <x v="8"/>
    <n v="419"/>
    <n v="353"/>
    <n v="66"/>
    <x v="0"/>
    <x v="2"/>
  </r>
  <r>
    <s v="ACC000112"/>
    <s v="Charles Taylor"/>
    <s v="36415"/>
    <x v="101"/>
    <n v="908"/>
    <n v="331"/>
    <n v="577"/>
    <x v="0"/>
    <x v="0"/>
  </r>
  <r>
    <s v="ACC000113"/>
    <s v="John Lewis"/>
    <s v="36415"/>
    <x v="102"/>
    <n v="409"/>
    <n v="104"/>
    <n v="305"/>
    <x v="0"/>
    <x v="1"/>
  </r>
  <r>
    <s v="ACC000114"/>
    <s v="John Walker"/>
    <s v="71020"/>
    <x v="103"/>
    <n v="524"/>
    <n v="229"/>
    <n v="295"/>
    <x v="0"/>
    <x v="4"/>
  </r>
  <r>
    <s v="ACC000115"/>
    <s v="John Johnson"/>
    <s v="93000"/>
    <x v="3"/>
    <n v="860"/>
    <n v="815"/>
    <n v="45"/>
    <x v="0"/>
    <x v="5"/>
  </r>
  <r>
    <s v="ACC000116"/>
    <s v="Thomas Brown"/>
    <s v="80050"/>
    <x v="77"/>
    <n v="592"/>
    <n v="387"/>
    <n v="205"/>
    <x v="0"/>
    <x v="1"/>
  </r>
  <r>
    <s v="ACC000117"/>
    <s v="John Johnson"/>
    <s v="99214"/>
    <x v="104"/>
    <n v="956"/>
    <n v="2"/>
    <n v="954"/>
    <x v="0"/>
    <x v="2"/>
  </r>
  <r>
    <s v="ACC000118"/>
    <s v="Michael Walker"/>
    <s v="99214"/>
    <x v="105"/>
    <n v="146"/>
    <n v="68"/>
    <n v="78"/>
    <x v="0"/>
    <x v="0"/>
  </r>
  <r>
    <s v="ACC000119"/>
    <s v="John Anderson"/>
    <s v="80050"/>
    <x v="106"/>
    <n v="449"/>
    <n v="292"/>
    <n v="157"/>
    <x v="0"/>
    <x v="4"/>
  </r>
  <r>
    <s v="ACC000120"/>
    <s v="Daniel Taylor"/>
    <s v="36415"/>
    <x v="107"/>
    <n v="995"/>
    <n v="877"/>
    <n v="118"/>
    <x v="0"/>
    <x v="2"/>
  </r>
  <r>
    <s v="ACC000121"/>
    <s v="James Smith"/>
    <s v="99213"/>
    <x v="108"/>
    <n v="412"/>
    <n v="142"/>
    <n v="270"/>
    <x v="0"/>
    <x v="0"/>
  </r>
  <r>
    <s v="ACC000122"/>
    <s v="James Brown"/>
    <s v="36415"/>
    <x v="109"/>
    <n v="586"/>
    <n v="529"/>
    <n v="57"/>
    <x v="0"/>
    <x v="5"/>
  </r>
  <r>
    <s v="ACC000123"/>
    <s v="Robert Clark"/>
    <s v="99213"/>
    <x v="110"/>
    <n v="646"/>
    <n v="480"/>
    <n v="166"/>
    <x v="0"/>
    <x v="1"/>
  </r>
  <r>
    <s v="ACC000124"/>
    <s v="Thomas Taylor"/>
    <s v="93000"/>
    <x v="111"/>
    <n v="786"/>
    <n v="493"/>
    <n v="293"/>
    <x v="0"/>
    <x v="2"/>
  </r>
  <r>
    <s v="ACC000125"/>
    <s v="James Johnson"/>
    <s v="36415"/>
    <x v="112"/>
    <n v="613"/>
    <n v="304"/>
    <n v="309"/>
    <x v="0"/>
    <x v="0"/>
  </r>
  <r>
    <s v="ACC000126"/>
    <s v="David Lewis"/>
    <s v="71020"/>
    <x v="113"/>
    <n v="405"/>
    <n v="327"/>
    <n v="78"/>
    <x v="0"/>
    <x v="1"/>
  </r>
  <r>
    <s v="ACC000127"/>
    <s v="Joseph Anderson"/>
    <s v="99214"/>
    <x v="114"/>
    <n v="751"/>
    <n v="82"/>
    <n v="669"/>
    <x v="0"/>
    <x v="4"/>
  </r>
  <r>
    <s v="ACC000128"/>
    <s v="Michael Harris"/>
    <s v="99213"/>
    <x v="115"/>
    <n v="149"/>
    <n v="121"/>
    <n v="28"/>
    <x v="0"/>
    <x v="0"/>
  </r>
  <r>
    <s v="ACC000129"/>
    <s v="Charles Lewis"/>
    <s v="80050"/>
    <x v="116"/>
    <n v="135"/>
    <n v="47"/>
    <n v="88"/>
    <x v="0"/>
    <x v="1"/>
  </r>
  <r>
    <s v="ACC000130"/>
    <s v="Robert Lewis"/>
    <s v="36415"/>
    <x v="117"/>
    <n v="581"/>
    <n v="57"/>
    <n v="524"/>
    <x v="0"/>
    <x v="1"/>
  </r>
  <r>
    <s v="ACC000131"/>
    <s v="Joseph Hall"/>
    <s v="93000"/>
    <x v="118"/>
    <n v="868"/>
    <n v="840"/>
    <n v="28"/>
    <x v="0"/>
    <x v="2"/>
  </r>
  <r>
    <s v="ACC000132"/>
    <s v="Joseph Johnson"/>
    <s v="71020"/>
    <x v="119"/>
    <n v="877"/>
    <n v="527"/>
    <n v="350"/>
    <x v="0"/>
    <x v="1"/>
  </r>
  <r>
    <s v="ACC000133"/>
    <s v="Charles Johnson"/>
    <s v="80050"/>
    <x v="120"/>
    <n v="911"/>
    <n v="156"/>
    <n v="755"/>
    <x v="0"/>
    <x v="2"/>
  </r>
  <r>
    <s v="ACC000134"/>
    <s v="Robert Walker"/>
    <s v="99214"/>
    <x v="37"/>
    <n v="828"/>
    <n v="465"/>
    <n v="363"/>
    <x v="0"/>
    <x v="0"/>
  </r>
  <r>
    <s v="ACC000135"/>
    <s v="James Smith"/>
    <s v="99214"/>
    <x v="121"/>
    <n v="254"/>
    <n v="25"/>
    <n v="229"/>
    <x v="0"/>
    <x v="3"/>
  </r>
  <r>
    <s v="ACC000136"/>
    <s v="John Lewis"/>
    <s v="99214"/>
    <x v="102"/>
    <n v="674"/>
    <n v="583"/>
    <n v="91"/>
    <x v="0"/>
    <x v="5"/>
  </r>
  <r>
    <s v="ACC000137"/>
    <s v="Charles Johnson"/>
    <s v="80050"/>
    <x v="122"/>
    <n v="293"/>
    <n v="195"/>
    <n v="98"/>
    <x v="0"/>
    <x v="2"/>
  </r>
  <r>
    <s v="ACC000138"/>
    <s v="Michael Walker"/>
    <s v="93000"/>
    <x v="123"/>
    <n v="579"/>
    <n v="563"/>
    <n v="16"/>
    <x v="0"/>
    <x v="0"/>
  </r>
  <r>
    <s v="ACC000139"/>
    <s v="David Smith"/>
    <s v="36415"/>
    <x v="124"/>
    <n v="274"/>
    <n v="68"/>
    <n v="206"/>
    <x v="0"/>
    <x v="5"/>
  </r>
  <r>
    <s v="ACC000140"/>
    <s v="Daniel Hall"/>
    <s v="99214"/>
    <x v="7"/>
    <n v="273"/>
    <n v="199"/>
    <n v="74"/>
    <x v="0"/>
    <x v="4"/>
  </r>
  <r>
    <s v="ACC000141"/>
    <s v="Joseph Hall"/>
    <s v="71020"/>
    <x v="125"/>
    <n v="993"/>
    <n v="278"/>
    <n v="715"/>
    <x v="0"/>
    <x v="5"/>
  </r>
  <r>
    <s v="ACC000142"/>
    <s v="Daniel Clark"/>
    <s v="99214"/>
    <x v="126"/>
    <n v="896"/>
    <n v="87"/>
    <n v="809"/>
    <x v="0"/>
    <x v="5"/>
  </r>
  <r>
    <s v="ACC000143"/>
    <s v="Charles Harris"/>
    <s v="93000"/>
    <x v="127"/>
    <n v="950"/>
    <n v="563"/>
    <n v="387"/>
    <x v="0"/>
    <x v="5"/>
  </r>
  <r>
    <s v="ACC000144"/>
    <s v="James Anderson"/>
    <s v="93000"/>
    <x v="95"/>
    <n v="255"/>
    <n v="48"/>
    <n v="207"/>
    <x v="0"/>
    <x v="3"/>
  </r>
  <r>
    <s v="ACC000145"/>
    <s v="James Taylor"/>
    <s v="80050"/>
    <x v="128"/>
    <n v="847"/>
    <n v="643"/>
    <n v="204"/>
    <x v="0"/>
    <x v="4"/>
  </r>
  <r>
    <s v="ACC000146"/>
    <s v="James Anderson"/>
    <s v="99214"/>
    <x v="129"/>
    <n v="651"/>
    <n v="191"/>
    <n v="460"/>
    <x v="0"/>
    <x v="3"/>
  </r>
  <r>
    <s v="ACC000147"/>
    <s v="William Clark"/>
    <s v="36415"/>
    <x v="130"/>
    <n v="929"/>
    <n v="510"/>
    <n v="419"/>
    <x v="0"/>
    <x v="4"/>
  </r>
  <r>
    <s v="ACC000148"/>
    <s v="James Brown"/>
    <s v="80050"/>
    <x v="131"/>
    <n v="214"/>
    <n v="118"/>
    <n v="96"/>
    <x v="0"/>
    <x v="3"/>
  </r>
  <r>
    <s v="ACC000149"/>
    <s v="Michael Taylor"/>
    <s v="99214"/>
    <x v="24"/>
    <n v="261"/>
    <n v="104"/>
    <n v="157"/>
    <x v="0"/>
    <x v="5"/>
  </r>
  <r>
    <s v="ACC000150"/>
    <s v="James Smith"/>
    <s v="36415"/>
    <x v="132"/>
    <n v="771"/>
    <n v="200"/>
    <n v="571"/>
    <x v="0"/>
    <x v="3"/>
  </r>
  <r>
    <s v="ACC000151"/>
    <s v="Robert Walker"/>
    <s v="71020"/>
    <x v="133"/>
    <n v="196"/>
    <n v="78"/>
    <n v="118"/>
    <x v="0"/>
    <x v="5"/>
  </r>
  <r>
    <s v="ACC000152"/>
    <s v="Thomas Walker"/>
    <s v="71020"/>
    <x v="9"/>
    <n v="766"/>
    <n v="747"/>
    <n v="19"/>
    <x v="0"/>
    <x v="1"/>
  </r>
  <r>
    <s v="ACC000153"/>
    <s v="William Smith"/>
    <s v="99213"/>
    <x v="134"/>
    <n v="696"/>
    <n v="63"/>
    <n v="633"/>
    <x v="0"/>
    <x v="5"/>
  </r>
  <r>
    <s v="ACC000154"/>
    <s v="James Smith"/>
    <s v="93000"/>
    <x v="135"/>
    <n v="566"/>
    <n v="278"/>
    <n v="288"/>
    <x v="0"/>
    <x v="1"/>
  </r>
  <r>
    <s v="ACC000155"/>
    <s v="James Lewis"/>
    <s v="93000"/>
    <x v="59"/>
    <n v="357"/>
    <n v="14"/>
    <n v="343"/>
    <x v="0"/>
    <x v="1"/>
  </r>
  <r>
    <s v="ACC000156"/>
    <s v="Charles Brown"/>
    <s v="36415"/>
    <x v="136"/>
    <n v="317"/>
    <n v="167"/>
    <n v="150"/>
    <x v="0"/>
    <x v="5"/>
  </r>
  <r>
    <s v="ACC000157"/>
    <s v="John Walker"/>
    <s v="99213"/>
    <x v="137"/>
    <n v="340"/>
    <n v="227"/>
    <n v="113"/>
    <x v="0"/>
    <x v="0"/>
  </r>
  <r>
    <s v="ACC000158"/>
    <s v="Michael Johnson"/>
    <s v="80050"/>
    <x v="138"/>
    <n v="699"/>
    <n v="432"/>
    <n v="267"/>
    <x v="0"/>
    <x v="5"/>
  </r>
  <r>
    <s v="ACC000159"/>
    <s v="William Walker"/>
    <s v="99214"/>
    <x v="139"/>
    <n v="297"/>
    <n v="27"/>
    <n v="270"/>
    <x v="0"/>
    <x v="4"/>
  </r>
  <r>
    <s v="ACC000160"/>
    <s v="William Brown"/>
    <s v="99213"/>
    <x v="140"/>
    <n v="325"/>
    <n v="148"/>
    <n v="177"/>
    <x v="0"/>
    <x v="5"/>
  </r>
  <r>
    <s v="ACC000161"/>
    <s v="Robert Harris"/>
    <s v="99214"/>
    <x v="141"/>
    <n v="467"/>
    <n v="263"/>
    <n v="204"/>
    <x v="0"/>
    <x v="3"/>
  </r>
  <r>
    <s v="ACC000162"/>
    <s v="James Anderson"/>
    <s v="71020"/>
    <x v="142"/>
    <n v="958"/>
    <n v="299"/>
    <n v="659"/>
    <x v="0"/>
    <x v="3"/>
  </r>
  <r>
    <s v="ACC000163"/>
    <s v="Michael Lewis"/>
    <s v="99214"/>
    <x v="4"/>
    <n v="860"/>
    <n v="772"/>
    <n v="88"/>
    <x v="0"/>
    <x v="0"/>
  </r>
  <r>
    <s v="ACC000164"/>
    <s v="Daniel Anderson"/>
    <s v="99214"/>
    <x v="143"/>
    <n v="200"/>
    <n v="49"/>
    <n v="151"/>
    <x v="0"/>
    <x v="1"/>
  </r>
  <r>
    <s v="ACC000165"/>
    <s v="John Harris"/>
    <s v="36415"/>
    <x v="144"/>
    <n v="187"/>
    <n v="68"/>
    <n v="119"/>
    <x v="0"/>
    <x v="0"/>
  </r>
  <r>
    <s v="ACC000166"/>
    <s v="Michael Anderson"/>
    <s v="71020"/>
    <x v="145"/>
    <n v="377"/>
    <n v="26"/>
    <n v="351"/>
    <x v="0"/>
    <x v="1"/>
  </r>
  <r>
    <s v="ACC000167"/>
    <s v="David Johnson"/>
    <s v="99214"/>
    <x v="146"/>
    <n v="534"/>
    <n v="314"/>
    <n v="220"/>
    <x v="0"/>
    <x v="2"/>
  </r>
  <r>
    <s v="ACC000168"/>
    <s v="Thomas Hall"/>
    <s v="36415"/>
    <x v="147"/>
    <n v="709"/>
    <n v="239"/>
    <n v="470"/>
    <x v="0"/>
    <x v="1"/>
  </r>
  <r>
    <s v="ACC000169"/>
    <s v="Robert Harris"/>
    <s v="93000"/>
    <x v="57"/>
    <n v="785"/>
    <n v="253"/>
    <n v="532"/>
    <x v="0"/>
    <x v="2"/>
  </r>
  <r>
    <s v="ACC000170"/>
    <s v="Michael Harris"/>
    <s v="99213"/>
    <x v="148"/>
    <n v="919"/>
    <n v="115"/>
    <n v="804"/>
    <x v="0"/>
    <x v="1"/>
  </r>
  <r>
    <s v="ACC000171"/>
    <s v="David Smith"/>
    <s v="99213"/>
    <x v="149"/>
    <n v="713"/>
    <n v="345"/>
    <n v="368"/>
    <x v="0"/>
    <x v="5"/>
  </r>
  <r>
    <s v="ACC000172"/>
    <s v="Robert Lewis"/>
    <s v="99214"/>
    <x v="150"/>
    <n v="571"/>
    <n v="298"/>
    <n v="273"/>
    <x v="0"/>
    <x v="2"/>
  </r>
  <r>
    <s v="ACC000173"/>
    <s v="Charles Smith"/>
    <s v="71020"/>
    <x v="102"/>
    <n v="597"/>
    <n v="131"/>
    <n v="466"/>
    <x v="0"/>
    <x v="1"/>
  </r>
  <r>
    <s v="ACC000174"/>
    <s v="David Smith"/>
    <s v="99213"/>
    <x v="151"/>
    <n v="591"/>
    <n v="240"/>
    <n v="351"/>
    <x v="0"/>
    <x v="5"/>
  </r>
  <r>
    <s v="ACC000175"/>
    <s v="Thomas Johnson"/>
    <s v="99213"/>
    <x v="152"/>
    <n v="164"/>
    <n v="118"/>
    <n v="46"/>
    <x v="0"/>
    <x v="4"/>
  </r>
  <r>
    <s v="ACC000176"/>
    <s v="Charles Walker"/>
    <s v="71020"/>
    <x v="153"/>
    <n v="326"/>
    <n v="40"/>
    <n v="286"/>
    <x v="0"/>
    <x v="2"/>
  </r>
  <r>
    <s v="ACC000177"/>
    <s v="Robert Lewis"/>
    <s v="71020"/>
    <x v="114"/>
    <n v="764"/>
    <n v="257"/>
    <n v="507"/>
    <x v="0"/>
    <x v="0"/>
  </r>
  <r>
    <s v="ACC000178"/>
    <s v="David Walker"/>
    <s v="80050"/>
    <x v="154"/>
    <n v="543"/>
    <n v="388"/>
    <n v="155"/>
    <x v="0"/>
    <x v="5"/>
  </r>
  <r>
    <s v="ACC000179"/>
    <s v="Robert Hall"/>
    <s v="80050"/>
    <x v="155"/>
    <n v="306"/>
    <n v="246"/>
    <n v="60"/>
    <x v="0"/>
    <x v="3"/>
  </r>
  <r>
    <s v="ACC000180"/>
    <s v="David Clark"/>
    <s v="93000"/>
    <x v="156"/>
    <n v="596"/>
    <n v="167"/>
    <n v="429"/>
    <x v="0"/>
    <x v="2"/>
  </r>
  <r>
    <s v="ACC000181"/>
    <s v="Thomas Lewis"/>
    <s v="99214"/>
    <x v="157"/>
    <n v="838"/>
    <n v="782"/>
    <n v="56"/>
    <x v="0"/>
    <x v="4"/>
  </r>
  <r>
    <s v="ACC000182"/>
    <s v="Michael Harris"/>
    <s v="80050"/>
    <x v="38"/>
    <n v="925"/>
    <n v="884"/>
    <n v="41"/>
    <x v="0"/>
    <x v="5"/>
  </r>
  <r>
    <s v="ACC000183"/>
    <s v="Charles Hall"/>
    <s v="93000"/>
    <x v="33"/>
    <n v="718"/>
    <n v="1"/>
    <n v="717"/>
    <x v="0"/>
    <x v="4"/>
  </r>
  <r>
    <s v="ACC000184"/>
    <s v="Charles Taylor"/>
    <s v="99214"/>
    <x v="158"/>
    <n v="641"/>
    <n v="293"/>
    <n v="348"/>
    <x v="0"/>
    <x v="1"/>
  </r>
  <r>
    <s v="ACC000185"/>
    <s v="William Hall"/>
    <s v="80050"/>
    <x v="159"/>
    <n v="336"/>
    <n v="224"/>
    <n v="112"/>
    <x v="0"/>
    <x v="1"/>
  </r>
  <r>
    <s v="ACC000186"/>
    <s v="William Hall"/>
    <s v="99213"/>
    <x v="123"/>
    <n v="244"/>
    <n v="50"/>
    <n v="194"/>
    <x v="0"/>
    <x v="5"/>
  </r>
  <r>
    <s v="ACC000187"/>
    <s v="William Johnson"/>
    <s v="93000"/>
    <x v="160"/>
    <n v="286"/>
    <n v="122"/>
    <n v="164"/>
    <x v="0"/>
    <x v="0"/>
  </r>
  <r>
    <s v="ACC000188"/>
    <s v="David Johnson"/>
    <s v="71020"/>
    <x v="161"/>
    <n v="652"/>
    <n v="638"/>
    <n v="14"/>
    <x v="0"/>
    <x v="5"/>
  </r>
  <r>
    <s v="ACC000189"/>
    <s v="John Clark"/>
    <s v="99213"/>
    <x v="41"/>
    <n v="443"/>
    <n v="343"/>
    <n v="100"/>
    <x v="0"/>
    <x v="5"/>
  </r>
  <r>
    <s v="ACC000190"/>
    <s v="Michael Anderson"/>
    <s v="36415"/>
    <x v="162"/>
    <n v="324"/>
    <n v="318"/>
    <n v="6"/>
    <x v="0"/>
    <x v="2"/>
  </r>
  <r>
    <s v="ACC000191"/>
    <s v="John Lewis"/>
    <s v="36415"/>
    <x v="163"/>
    <n v="560"/>
    <n v="537"/>
    <n v="23"/>
    <x v="0"/>
    <x v="4"/>
  </r>
  <r>
    <s v="ACC000192"/>
    <s v="John Harris"/>
    <s v="36415"/>
    <x v="164"/>
    <n v="686"/>
    <n v="622"/>
    <n v="64"/>
    <x v="0"/>
    <x v="4"/>
  </r>
  <r>
    <s v="ACC000193"/>
    <s v="Charles Johnson"/>
    <s v="99214"/>
    <x v="165"/>
    <n v="878"/>
    <n v="134"/>
    <n v="744"/>
    <x v="0"/>
    <x v="1"/>
  </r>
  <r>
    <s v="ACC000194"/>
    <s v="John Lewis"/>
    <s v="99214"/>
    <x v="166"/>
    <n v="676"/>
    <n v="264"/>
    <n v="412"/>
    <x v="0"/>
    <x v="2"/>
  </r>
  <r>
    <s v="ACC000195"/>
    <s v="Daniel Johnson"/>
    <s v="93000"/>
    <x v="99"/>
    <n v="342"/>
    <n v="141"/>
    <n v="201"/>
    <x v="0"/>
    <x v="1"/>
  </r>
  <r>
    <s v="ACC000196"/>
    <s v="Thomas Lewis"/>
    <s v="99213"/>
    <x v="167"/>
    <n v="654"/>
    <n v="525"/>
    <n v="129"/>
    <x v="0"/>
    <x v="0"/>
  </r>
  <r>
    <s v="ACC000197"/>
    <s v="John Brown"/>
    <s v="71020"/>
    <x v="168"/>
    <n v="339"/>
    <n v="92"/>
    <n v="247"/>
    <x v="0"/>
    <x v="0"/>
  </r>
  <r>
    <s v="ACC000198"/>
    <s v="William Smith"/>
    <s v="80050"/>
    <x v="107"/>
    <n v="177"/>
    <n v="51"/>
    <n v="126"/>
    <x v="0"/>
    <x v="1"/>
  </r>
  <r>
    <s v="ACC000199"/>
    <s v="James Brown"/>
    <s v="93000"/>
    <x v="169"/>
    <n v="527"/>
    <n v="389"/>
    <n v="138"/>
    <x v="0"/>
    <x v="5"/>
  </r>
  <r>
    <s v="ACC000200"/>
    <s v="Joseph Johnson"/>
    <s v="99214"/>
    <x v="170"/>
    <n v="769"/>
    <n v="731"/>
    <n v="38"/>
    <x v="0"/>
    <x v="2"/>
  </r>
  <r>
    <s v="ACC000201"/>
    <s v="Daniel Clark"/>
    <s v="36415"/>
    <x v="171"/>
    <n v="178"/>
    <n v="138"/>
    <n v="40"/>
    <x v="0"/>
    <x v="4"/>
  </r>
  <r>
    <s v="ACC000202"/>
    <s v="James Harris"/>
    <s v="93000"/>
    <x v="172"/>
    <n v="391"/>
    <n v="83"/>
    <n v="308"/>
    <x v="0"/>
    <x v="1"/>
  </r>
  <r>
    <s v="ACC000203"/>
    <s v="Daniel Brown"/>
    <s v="80050"/>
    <x v="52"/>
    <n v="180"/>
    <n v="73"/>
    <n v="107"/>
    <x v="0"/>
    <x v="3"/>
  </r>
  <r>
    <s v="ACC000204"/>
    <s v="John Walker"/>
    <s v="99213"/>
    <x v="173"/>
    <n v="295"/>
    <n v="214"/>
    <n v="81"/>
    <x v="0"/>
    <x v="5"/>
  </r>
  <r>
    <s v="ACC000205"/>
    <s v="Joseph Harris"/>
    <s v="71020"/>
    <x v="72"/>
    <n v="825"/>
    <n v="544"/>
    <n v="281"/>
    <x v="0"/>
    <x v="2"/>
  </r>
  <r>
    <s v="ACC000206"/>
    <s v="Joseph Smith"/>
    <s v="80050"/>
    <x v="12"/>
    <n v="507"/>
    <n v="124"/>
    <n v="383"/>
    <x v="0"/>
    <x v="1"/>
  </r>
  <r>
    <s v="ACC000207"/>
    <s v="David Lewis"/>
    <s v="71020"/>
    <x v="174"/>
    <n v="105"/>
    <n v="35"/>
    <n v="70"/>
    <x v="0"/>
    <x v="0"/>
  </r>
  <r>
    <s v="ACC000208"/>
    <s v="James Anderson"/>
    <s v="71020"/>
    <x v="175"/>
    <n v="342"/>
    <n v="298"/>
    <n v="44"/>
    <x v="0"/>
    <x v="0"/>
  </r>
  <r>
    <s v="ACC000209"/>
    <s v="John Harris"/>
    <s v="71020"/>
    <x v="176"/>
    <n v="470"/>
    <n v="87"/>
    <n v="383"/>
    <x v="0"/>
    <x v="2"/>
  </r>
  <r>
    <s v="ACC000210"/>
    <s v="David Walker"/>
    <s v="99214"/>
    <x v="31"/>
    <n v="398"/>
    <n v="323"/>
    <n v="75"/>
    <x v="0"/>
    <x v="4"/>
  </r>
  <r>
    <s v="ACC000211"/>
    <s v="Robert Harris"/>
    <s v="36415"/>
    <x v="27"/>
    <n v="264"/>
    <n v="6"/>
    <n v="258"/>
    <x v="0"/>
    <x v="2"/>
  </r>
  <r>
    <s v="ACC000212"/>
    <s v="Daniel Hall"/>
    <s v="71020"/>
    <x v="177"/>
    <n v="656"/>
    <n v="505"/>
    <n v="151"/>
    <x v="0"/>
    <x v="2"/>
  </r>
  <r>
    <s v="ACC000213"/>
    <s v="Thomas Hall"/>
    <s v="36415"/>
    <x v="178"/>
    <n v="340"/>
    <n v="77"/>
    <n v="263"/>
    <x v="0"/>
    <x v="4"/>
  </r>
  <r>
    <s v="ACC000214"/>
    <s v="Daniel Clark"/>
    <s v="36415"/>
    <x v="179"/>
    <n v="896"/>
    <n v="837"/>
    <n v="59"/>
    <x v="0"/>
    <x v="4"/>
  </r>
  <r>
    <s v="ACC000215"/>
    <s v="Robert Smith"/>
    <s v="71020"/>
    <x v="124"/>
    <n v="948"/>
    <n v="251"/>
    <n v="697"/>
    <x v="0"/>
    <x v="1"/>
  </r>
  <r>
    <s v="ACC000216"/>
    <s v="Thomas Walker"/>
    <s v="99213"/>
    <x v="180"/>
    <n v="709"/>
    <n v="382"/>
    <n v="327"/>
    <x v="0"/>
    <x v="4"/>
  </r>
  <r>
    <s v="ACC000217"/>
    <s v="John Lewis"/>
    <s v="80050"/>
    <x v="181"/>
    <n v="605"/>
    <n v="430"/>
    <n v="175"/>
    <x v="0"/>
    <x v="1"/>
  </r>
  <r>
    <s v="ACC000218"/>
    <s v="Michael Lewis"/>
    <s v="71020"/>
    <x v="182"/>
    <n v="696"/>
    <n v="656"/>
    <n v="40"/>
    <x v="0"/>
    <x v="4"/>
  </r>
  <r>
    <s v="ACC000219"/>
    <s v="James Lewis"/>
    <s v="93000"/>
    <x v="183"/>
    <n v="808"/>
    <n v="278"/>
    <n v="530"/>
    <x v="0"/>
    <x v="1"/>
  </r>
  <r>
    <s v="ACC000220"/>
    <s v="James Walker"/>
    <s v="99213"/>
    <x v="72"/>
    <n v="439"/>
    <n v="423"/>
    <n v="16"/>
    <x v="0"/>
    <x v="5"/>
  </r>
  <r>
    <s v="ACC000221"/>
    <s v="John Taylor"/>
    <s v="93000"/>
    <x v="184"/>
    <n v="608"/>
    <n v="361"/>
    <n v="247"/>
    <x v="0"/>
    <x v="0"/>
  </r>
  <r>
    <s v="ACC000222"/>
    <s v="John Harris"/>
    <s v="99214"/>
    <x v="185"/>
    <n v="931"/>
    <n v="15"/>
    <n v="916"/>
    <x v="0"/>
    <x v="3"/>
  </r>
  <r>
    <s v="ACC000223"/>
    <s v="Joseph Taylor"/>
    <s v="71020"/>
    <x v="186"/>
    <n v="715"/>
    <n v="684"/>
    <n v="31"/>
    <x v="0"/>
    <x v="2"/>
  </r>
  <r>
    <s v="ACC000224"/>
    <s v="Joseph Johnson"/>
    <s v="36415"/>
    <x v="187"/>
    <n v="699"/>
    <n v="228"/>
    <n v="471"/>
    <x v="0"/>
    <x v="5"/>
  </r>
  <r>
    <s v="ACC000225"/>
    <s v="John Hall"/>
    <s v="99213"/>
    <x v="188"/>
    <n v="595"/>
    <n v="568"/>
    <n v="27"/>
    <x v="0"/>
    <x v="5"/>
  </r>
  <r>
    <s v="ACC000226"/>
    <s v="Robert Lewis"/>
    <s v="36415"/>
    <x v="39"/>
    <n v="543"/>
    <n v="239"/>
    <n v="304"/>
    <x v="0"/>
    <x v="3"/>
  </r>
  <r>
    <s v="ACC000227"/>
    <s v="Thomas Taylor"/>
    <s v="80050"/>
    <x v="189"/>
    <n v="378"/>
    <n v="67"/>
    <n v="311"/>
    <x v="0"/>
    <x v="4"/>
  </r>
  <r>
    <s v="ACC000228"/>
    <s v="James Hall"/>
    <s v="71020"/>
    <x v="190"/>
    <n v="827"/>
    <n v="371"/>
    <n v="456"/>
    <x v="0"/>
    <x v="4"/>
  </r>
  <r>
    <s v="ACC000229"/>
    <s v="Thomas Taylor"/>
    <s v="93000"/>
    <x v="191"/>
    <n v="858"/>
    <n v="506"/>
    <n v="352"/>
    <x v="0"/>
    <x v="1"/>
  </r>
  <r>
    <s v="ACC000230"/>
    <s v="Thomas Lewis"/>
    <s v="71020"/>
    <x v="192"/>
    <n v="837"/>
    <n v="215"/>
    <n v="622"/>
    <x v="0"/>
    <x v="2"/>
  </r>
  <r>
    <s v="ACC000231"/>
    <s v="Joseph Clark"/>
    <s v="36415"/>
    <x v="193"/>
    <n v="658"/>
    <n v="547"/>
    <n v="111"/>
    <x v="0"/>
    <x v="4"/>
  </r>
  <r>
    <s v="ACC000232"/>
    <s v="William Hall"/>
    <s v="99213"/>
    <x v="194"/>
    <n v="320"/>
    <n v="60"/>
    <n v="260"/>
    <x v="0"/>
    <x v="1"/>
  </r>
  <r>
    <s v="ACC000233"/>
    <s v="David Hall"/>
    <s v="99214"/>
    <x v="195"/>
    <n v="794"/>
    <n v="220"/>
    <n v="574"/>
    <x v="0"/>
    <x v="0"/>
  </r>
  <r>
    <s v="ACC000234"/>
    <s v="Charles Taylor"/>
    <s v="93000"/>
    <x v="196"/>
    <n v="178"/>
    <n v="78"/>
    <n v="100"/>
    <x v="0"/>
    <x v="0"/>
  </r>
  <r>
    <s v="ACC000235"/>
    <s v="John Brown"/>
    <s v="99213"/>
    <x v="197"/>
    <n v="600"/>
    <n v="0"/>
    <n v="600"/>
    <x v="0"/>
    <x v="5"/>
  </r>
  <r>
    <s v="ACC000236"/>
    <s v="Thomas Lewis"/>
    <s v="80050"/>
    <x v="198"/>
    <n v="542"/>
    <n v="528"/>
    <n v="14"/>
    <x v="0"/>
    <x v="2"/>
  </r>
  <r>
    <s v="ACC000237"/>
    <s v="Joseph Harris"/>
    <s v="71020"/>
    <x v="199"/>
    <n v="523"/>
    <n v="103"/>
    <n v="420"/>
    <x v="0"/>
    <x v="4"/>
  </r>
  <r>
    <s v="ACC000238"/>
    <s v="James Smith"/>
    <s v="36415"/>
    <x v="200"/>
    <n v="130"/>
    <n v="63"/>
    <n v="67"/>
    <x v="0"/>
    <x v="1"/>
  </r>
  <r>
    <s v="ACC000239"/>
    <s v="Michael Anderson"/>
    <s v="99214"/>
    <x v="197"/>
    <n v="121"/>
    <n v="76"/>
    <n v="45"/>
    <x v="0"/>
    <x v="1"/>
  </r>
  <r>
    <s v="ACC000240"/>
    <s v="John Anderson"/>
    <s v="36415"/>
    <x v="138"/>
    <n v="912"/>
    <n v="633"/>
    <n v="279"/>
    <x v="0"/>
    <x v="4"/>
  </r>
  <r>
    <s v="ACC000241"/>
    <s v="James Hall"/>
    <s v="71020"/>
    <x v="199"/>
    <n v="407"/>
    <n v="85"/>
    <n v="322"/>
    <x v="0"/>
    <x v="2"/>
  </r>
  <r>
    <s v="ACC000242"/>
    <s v="Robert Anderson"/>
    <s v="99213"/>
    <x v="201"/>
    <n v="342"/>
    <n v="200"/>
    <n v="142"/>
    <x v="0"/>
    <x v="2"/>
  </r>
  <r>
    <s v="ACC000243"/>
    <s v="Thomas Hall"/>
    <s v="93000"/>
    <x v="202"/>
    <n v="832"/>
    <n v="276"/>
    <n v="556"/>
    <x v="0"/>
    <x v="3"/>
  </r>
  <r>
    <s v="ACC000244"/>
    <s v="Joseph Taylor"/>
    <s v="80050"/>
    <x v="203"/>
    <n v="233"/>
    <n v="178"/>
    <n v="55"/>
    <x v="0"/>
    <x v="2"/>
  </r>
  <r>
    <s v="ACC000245"/>
    <s v="Joseph Taylor"/>
    <s v="80050"/>
    <x v="37"/>
    <n v="657"/>
    <n v="67"/>
    <n v="590"/>
    <x v="0"/>
    <x v="3"/>
  </r>
  <r>
    <s v="ACC000246"/>
    <s v="William Anderson"/>
    <s v="99214"/>
    <x v="135"/>
    <n v="733"/>
    <n v="472"/>
    <n v="261"/>
    <x v="0"/>
    <x v="5"/>
  </r>
  <r>
    <s v="ACC000247"/>
    <s v="Joseph Taylor"/>
    <s v="71020"/>
    <x v="200"/>
    <n v="349"/>
    <n v="256"/>
    <n v="93"/>
    <x v="0"/>
    <x v="3"/>
  </r>
  <r>
    <s v="ACC000248"/>
    <s v="Charles Smith"/>
    <s v="99214"/>
    <x v="138"/>
    <n v="287"/>
    <n v="154"/>
    <n v="133"/>
    <x v="0"/>
    <x v="4"/>
  </r>
  <r>
    <s v="ACC000249"/>
    <s v="Joseph Clark"/>
    <s v="80050"/>
    <x v="204"/>
    <n v="259"/>
    <n v="43"/>
    <n v="216"/>
    <x v="0"/>
    <x v="3"/>
  </r>
  <r>
    <s v="ACC000250"/>
    <s v="Charles Clark"/>
    <s v="71020"/>
    <x v="205"/>
    <n v="288"/>
    <n v="95"/>
    <n v="193"/>
    <x v="0"/>
    <x v="1"/>
  </r>
  <r>
    <s v="ACC000251"/>
    <s v="David Harris"/>
    <s v="93000"/>
    <x v="44"/>
    <n v="563"/>
    <n v="53"/>
    <n v="510"/>
    <x v="0"/>
    <x v="2"/>
  </r>
  <r>
    <s v="ACC000252"/>
    <s v="James Johnson"/>
    <s v="71020"/>
    <x v="206"/>
    <n v="249"/>
    <n v="74"/>
    <n v="175"/>
    <x v="0"/>
    <x v="0"/>
  </r>
  <r>
    <s v="ACC000253"/>
    <s v="David Lewis"/>
    <s v="99214"/>
    <x v="207"/>
    <n v="869"/>
    <n v="458"/>
    <n v="411"/>
    <x v="0"/>
    <x v="3"/>
  </r>
  <r>
    <s v="ACC000254"/>
    <s v="Daniel Lewis"/>
    <s v="99214"/>
    <x v="208"/>
    <n v="930"/>
    <n v="483"/>
    <n v="447"/>
    <x v="0"/>
    <x v="0"/>
  </r>
  <r>
    <s v="ACC000255"/>
    <s v="Michael Harris"/>
    <s v="71020"/>
    <x v="209"/>
    <n v="814"/>
    <n v="397"/>
    <n v="417"/>
    <x v="0"/>
    <x v="3"/>
  </r>
  <r>
    <s v="ACC000256"/>
    <s v="Robert Smith"/>
    <s v="99213"/>
    <x v="210"/>
    <n v="931"/>
    <n v="602"/>
    <n v="329"/>
    <x v="0"/>
    <x v="0"/>
  </r>
  <r>
    <s v="ACC000257"/>
    <s v="Daniel Johnson"/>
    <s v="99214"/>
    <x v="211"/>
    <n v="792"/>
    <n v="575"/>
    <n v="217"/>
    <x v="0"/>
    <x v="1"/>
  </r>
  <r>
    <s v="ACC000258"/>
    <s v="James Brown"/>
    <s v="71020"/>
    <x v="212"/>
    <n v="247"/>
    <n v="211"/>
    <n v="36"/>
    <x v="0"/>
    <x v="5"/>
  </r>
  <r>
    <s v="ACC000259"/>
    <s v="John Lewis"/>
    <s v="36415"/>
    <x v="213"/>
    <n v="780"/>
    <n v="189"/>
    <n v="591"/>
    <x v="0"/>
    <x v="1"/>
  </r>
  <r>
    <s v="ACC000260"/>
    <s v="Robert Smith"/>
    <s v="80050"/>
    <x v="57"/>
    <n v="159"/>
    <n v="0"/>
    <n v="159"/>
    <x v="0"/>
    <x v="0"/>
  </r>
  <r>
    <s v="ACC000261"/>
    <s v="Thomas Smith"/>
    <s v="36415"/>
    <x v="214"/>
    <n v="698"/>
    <n v="282"/>
    <n v="416"/>
    <x v="0"/>
    <x v="0"/>
  </r>
  <r>
    <s v="ACC000262"/>
    <s v="William Walker"/>
    <s v="99214"/>
    <x v="215"/>
    <n v="991"/>
    <n v="407"/>
    <n v="584"/>
    <x v="0"/>
    <x v="2"/>
  </r>
  <r>
    <s v="ACC000263"/>
    <s v="Robert Brown"/>
    <s v="99213"/>
    <x v="216"/>
    <n v="423"/>
    <n v="49"/>
    <n v="374"/>
    <x v="0"/>
    <x v="4"/>
  </r>
  <r>
    <s v="ACC000264"/>
    <s v="Joseph Clark"/>
    <s v="99213"/>
    <x v="210"/>
    <n v="486"/>
    <n v="399"/>
    <n v="87"/>
    <x v="0"/>
    <x v="5"/>
  </r>
  <r>
    <s v="ACC000265"/>
    <s v="Charles Clark"/>
    <s v="93000"/>
    <x v="217"/>
    <n v="268"/>
    <n v="118"/>
    <n v="150"/>
    <x v="0"/>
    <x v="4"/>
  </r>
  <r>
    <s v="ACC000266"/>
    <s v="James Johnson"/>
    <s v="80050"/>
    <x v="218"/>
    <n v="270"/>
    <n v="177"/>
    <n v="93"/>
    <x v="0"/>
    <x v="4"/>
  </r>
  <r>
    <s v="ACC000267"/>
    <s v="Daniel Lewis"/>
    <s v="99214"/>
    <x v="219"/>
    <n v="521"/>
    <n v="407"/>
    <n v="114"/>
    <x v="0"/>
    <x v="2"/>
  </r>
  <r>
    <s v="ACC000268"/>
    <s v="Joseph Lewis"/>
    <s v="71020"/>
    <x v="220"/>
    <n v="607"/>
    <n v="414"/>
    <n v="193"/>
    <x v="0"/>
    <x v="4"/>
  </r>
  <r>
    <s v="ACC000269"/>
    <s v="Robert Smith"/>
    <s v="99214"/>
    <x v="221"/>
    <n v="464"/>
    <n v="92"/>
    <n v="372"/>
    <x v="0"/>
    <x v="3"/>
  </r>
  <r>
    <s v="ACC000270"/>
    <s v="James Smith"/>
    <s v="71020"/>
    <x v="222"/>
    <n v="313"/>
    <n v="215"/>
    <n v="98"/>
    <x v="0"/>
    <x v="0"/>
  </r>
  <r>
    <s v="ACC000271"/>
    <s v="Daniel Smith"/>
    <s v="80050"/>
    <x v="223"/>
    <n v="764"/>
    <n v="343"/>
    <n v="421"/>
    <x v="0"/>
    <x v="1"/>
  </r>
  <r>
    <s v="ACC000272"/>
    <s v="James Brown"/>
    <s v="80050"/>
    <x v="224"/>
    <n v="469"/>
    <n v="180"/>
    <n v="289"/>
    <x v="0"/>
    <x v="1"/>
  </r>
  <r>
    <s v="ACC000273"/>
    <s v="Daniel Walker"/>
    <s v="99213"/>
    <x v="225"/>
    <n v="721"/>
    <n v="329"/>
    <n v="392"/>
    <x v="0"/>
    <x v="3"/>
  </r>
  <r>
    <s v="ACC000274"/>
    <s v="Michael Smith"/>
    <s v="36415"/>
    <x v="226"/>
    <n v="891"/>
    <n v="671"/>
    <n v="220"/>
    <x v="0"/>
    <x v="2"/>
  </r>
  <r>
    <s v="ACC000275"/>
    <s v="John Walker"/>
    <s v="71020"/>
    <x v="227"/>
    <n v="611"/>
    <n v="273"/>
    <n v="338"/>
    <x v="0"/>
    <x v="0"/>
  </r>
  <r>
    <s v="ACC000276"/>
    <s v="William Smith"/>
    <s v="71020"/>
    <x v="228"/>
    <n v="117"/>
    <n v="87"/>
    <n v="30"/>
    <x v="0"/>
    <x v="5"/>
  </r>
  <r>
    <s v="ACC000277"/>
    <s v="Daniel Walker"/>
    <s v="93000"/>
    <x v="229"/>
    <n v="699"/>
    <n v="614"/>
    <n v="85"/>
    <x v="0"/>
    <x v="0"/>
  </r>
  <r>
    <s v="ACC000278"/>
    <s v="David Harris"/>
    <s v="71020"/>
    <x v="125"/>
    <n v="108"/>
    <n v="77"/>
    <n v="31"/>
    <x v="0"/>
    <x v="0"/>
  </r>
  <r>
    <s v="ACC000279"/>
    <s v="Charles Brown"/>
    <s v="99213"/>
    <x v="175"/>
    <n v="998"/>
    <n v="242"/>
    <n v="756"/>
    <x v="0"/>
    <x v="3"/>
  </r>
  <r>
    <s v="ACC000280"/>
    <s v="Robert Walker"/>
    <s v="99214"/>
    <x v="41"/>
    <n v="459"/>
    <n v="212"/>
    <n v="247"/>
    <x v="0"/>
    <x v="2"/>
  </r>
  <r>
    <s v="ACC000281"/>
    <s v="James Taylor"/>
    <s v="93000"/>
    <x v="230"/>
    <n v="422"/>
    <n v="273"/>
    <n v="149"/>
    <x v="0"/>
    <x v="1"/>
  </r>
  <r>
    <s v="ACC000282"/>
    <s v="Thomas Lewis"/>
    <s v="80050"/>
    <x v="231"/>
    <n v="904"/>
    <n v="331"/>
    <n v="573"/>
    <x v="0"/>
    <x v="1"/>
  </r>
  <r>
    <s v="ACC000283"/>
    <s v="James Johnson"/>
    <s v="71020"/>
    <x v="9"/>
    <n v="487"/>
    <n v="54"/>
    <n v="433"/>
    <x v="0"/>
    <x v="1"/>
  </r>
  <r>
    <s v="ACC000284"/>
    <s v="James Smith"/>
    <s v="71020"/>
    <x v="54"/>
    <n v="321"/>
    <n v="111"/>
    <n v="210"/>
    <x v="0"/>
    <x v="3"/>
  </r>
  <r>
    <s v="ACC000285"/>
    <s v="John Hall"/>
    <s v="99213"/>
    <x v="232"/>
    <n v="691"/>
    <n v="647"/>
    <n v="44"/>
    <x v="0"/>
    <x v="4"/>
  </r>
  <r>
    <s v="ACC000286"/>
    <s v="Joseph Walker"/>
    <s v="99214"/>
    <x v="233"/>
    <n v="996"/>
    <n v="11"/>
    <n v="985"/>
    <x v="0"/>
    <x v="2"/>
  </r>
  <r>
    <s v="ACC000287"/>
    <s v="David Lewis"/>
    <s v="99214"/>
    <x v="234"/>
    <n v="914"/>
    <n v="264"/>
    <n v="650"/>
    <x v="0"/>
    <x v="3"/>
  </r>
  <r>
    <s v="ACC000288"/>
    <s v="David Brown"/>
    <s v="99214"/>
    <x v="235"/>
    <n v="250"/>
    <n v="15"/>
    <n v="235"/>
    <x v="0"/>
    <x v="4"/>
  </r>
  <r>
    <s v="ACC000289"/>
    <s v="Michael Hall"/>
    <s v="71020"/>
    <x v="236"/>
    <n v="931"/>
    <n v="353"/>
    <n v="578"/>
    <x v="0"/>
    <x v="1"/>
  </r>
  <r>
    <s v="ACC000290"/>
    <s v="Charles Johnson"/>
    <s v="99213"/>
    <x v="237"/>
    <n v="424"/>
    <n v="146"/>
    <n v="278"/>
    <x v="0"/>
    <x v="4"/>
  </r>
  <r>
    <s v="ACC000291"/>
    <s v="William Smith"/>
    <s v="99213"/>
    <x v="238"/>
    <n v="959"/>
    <n v="526"/>
    <n v="433"/>
    <x v="0"/>
    <x v="3"/>
  </r>
  <r>
    <s v="ACC000292"/>
    <s v="Joseph Smith"/>
    <s v="99214"/>
    <x v="239"/>
    <n v="711"/>
    <n v="173"/>
    <n v="538"/>
    <x v="0"/>
    <x v="5"/>
  </r>
  <r>
    <s v="ACC000293"/>
    <s v="John Clark"/>
    <s v="99214"/>
    <x v="229"/>
    <n v="945"/>
    <n v="775"/>
    <n v="170"/>
    <x v="0"/>
    <x v="1"/>
  </r>
  <r>
    <s v="ACC000294"/>
    <s v="Robert Anderson"/>
    <s v="99213"/>
    <x v="240"/>
    <n v="281"/>
    <n v="118"/>
    <n v="163"/>
    <x v="0"/>
    <x v="5"/>
  </r>
  <r>
    <s v="ACC000295"/>
    <s v="David Clark"/>
    <s v="71020"/>
    <x v="142"/>
    <n v="341"/>
    <n v="30"/>
    <n v="311"/>
    <x v="0"/>
    <x v="0"/>
  </r>
  <r>
    <s v="ACC000296"/>
    <s v="Charles Brown"/>
    <s v="71020"/>
    <x v="67"/>
    <n v="266"/>
    <n v="104"/>
    <n v="162"/>
    <x v="0"/>
    <x v="1"/>
  </r>
  <r>
    <s v="ACC000297"/>
    <s v="Michael Clark"/>
    <s v="36415"/>
    <x v="95"/>
    <n v="869"/>
    <n v="589"/>
    <n v="280"/>
    <x v="0"/>
    <x v="3"/>
  </r>
  <r>
    <s v="ACC000298"/>
    <s v="Joseph Smith"/>
    <s v="36415"/>
    <x v="241"/>
    <n v="958"/>
    <n v="332"/>
    <n v="626"/>
    <x v="0"/>
    <x v="2"/>
  </r>
  <r>
    <s v="ACC000299"/>
    <s v="Daniel Harris"/>
    <s v="80050"/>
    <x v="54"/>
    <n v="258"/>
    <n v="199"/>
    <n v="59"/>
    <x v="0"/>
    <x v="0"/>
  </r>
  <r>
    <s v="ACC000300"/>
    <s v="Thomas Taylor"/>
    <s v="80050"/>
    <x v="242"/>
    <n v="772"/>
    <n v="707"/>
    <n v="65"/>
    <x v="0"/>
    <x v="2"/>
  </r>
  <r>
    <s v="ACC000301"/>
    <s v="James Taylor"/>
    <s v="80050"/>
    <x v="243"/>
    <n v="146"/>
    <n v="42"/>
    <n v="104"/>
    <x v="0"/>
    <x v="4"/>
  </r>
  <r>
    <s v="ACC000302"/>
    <s v="Michael Brown"/>
    <s v="99213"/>
    <x v="244"/>
    <n v="883"/>
    <n v="653"/>
    <n v="230"/>
    <x v="0"/>
    <x v="0"/>
  </r>
  <r>
    <s v="ACC000303"/>
    <s v="Daniel Lewis"/>
    <s v="80050"/>
    <x v="105"/>
    <n v="473"/>
    <n v="429"/>
    <n v="44"/>
    <x v="0"/>
    <x v="0"/>
  </r>
  <r>
    <s v="ACC000304"/>
    <s v="Michael Walker"/>
    <s v="71020"/>
    <x v="245"/>
    <n v="669"/>
    <n v="505"/>
    <n v="164"/>
    <x v="0"/>
    <x v="5"/>
  </r>
  <r>
    <s v="ACC000305"/>
    <s v="David Lewis"/>
    <s v="36415"/>
    <x v="114"/>
    <n v="590"/>
    <n v="250"/>
    <n v="340"/>
    <x v="0"/>
    <x v="3"/>
  </r>
  <r>
    <s v="ACC000306"/>
    <s v="William Anderson"/>
    <s v="99214"/>
    <x v="244"/>
    <n v="209"/>
    <n v="53"/>
    <n v="156"/>
    <x v="0"/>
    <x v="0"/>
  </r>
  <r>
    <s v="ACC000307"/>
    <s v="Robert Taylor"/>
    <s v="99214"/>
    <x v="124"/>
    <n v="595"/>
    <n v="278"/>
    <n v="317"/>
    <x v="0"/>
    <x v="2"/>
  </r>
  <r>
    <s v="ACC000308"/>
    <s v="Thomas Clark"/>
    <s v="99214"/>
    <x v="75"/>
    <n v="722"/>
    <n v="582"/>
    <n v="140"/>
    <x v="0"/>
    <x v="2"/>
  </r>
  <r>
    <s v="ACC000309"/>
    <s v="Thomas Hall"/>
    <s v="80050"/>
    <x v="246"/>
    <n v="755"/>
    <n v="374"/>
    <n v="381"/>
    <x v="0"/>
    <x v="0"/>
  </r>
  <r>
    <s v="ACC000310"/>
    <s v="William Brown"/>
    <s v="99214"/>
    <x v="157"/>
    <n v="768"/>
    <n v="705"/>
    <n v="63"/>
    <x v="0"/>
    <x v="4"/>
  </r>
  <r>
    <s v="ACC000311"/>
    <s v="Robert Johnson"/>
    <s v="99213"/>
    <x v="3"/>
    <n v="437"/>
    <n v="121"/>
    <n v="316"/>
    <x v="0"/>
    <x v="2"/>
  </r>
  <r>
    <s v="ACC000312"/>
    <s v="Robert Smith"/>
    <s v="99213"/>
    <x v="247"/>
    <n v="116"/>
    <n v="55"/>
    <n v="61"/>
    <x v="0"/>
    <x v="4"/>
  </r>
  <r>
    <s v="ACC000313"/>
    <s v="John Johnson"/>
    <s v="93000"/>
    <x v="248"/>
    <n v="310"/>
    <n v="78"/>
    <n v="232"/>
    <x v="0"/>
    <x v="0"/>
  </r>
  <r>
    <s v="ACC000314"/>
    <s v="James Brown"/>
    <s v="80050"/>
    <x v="39"/>
    <n v="376"/>
    <n v="28"/>
    <n v="348"/>
    <x v="0"/>
    <x v="2"/>
  </r>
  <r>
    <s v="ACC000315"/>
    <s v="Robert Hall"/>
    <s v="80050"/>
    <x v="249"/>
    <n v="542"/>
    <n v="467"/>
    <n v="75"/>
    <x v="0"/>
    <x v="4"/>
  </r>
  <r>
    <s v="ACC000316"/>
    <s v="Daniel Smith"/>
    <s v="36415"/>
    <x v="207"/>
    <n v="600"/>
    <n v="425"/>
    <n v="175"/>
    <x v="0"/>
    <x v="4"/>
  </r>
  <r>
    <s v="ACC000317"/>
    <s v="Robert Walker"/>
    <s v="99213"/>
    <x v="37"/>
    <n v="947"/>
    <n v="759"/>
    <n v="188"/>
    <x v="0"/>
    <x v="3"/>
  </r>
  <r>
    <s v="ACC000318"/>
    <s v="Charles Taylor"/>
    <s v="80050"/>
    <x v="250"/>
    <n v="317"/>
    <n v="169"/>
    <n v="148"/>
    <x v="0"/>
    <x v="4"/>
  </r>
  <r>
    <s v="ACC000319"/>
    <s v="Michael Brown"/>
    <s v="36415"/>
    <x v="51"/>
    <n v="540"/>
    <n v="92"/>
    <n v="448"/>
    <x v="0"/>
    <x v="2"/>
  </r>
  <r>
    <s v="ACC000320"/>
    <s v="Michael Anderson"/>
    <s v="71020"/>
    <x v="251"/>
    <n v="291"/>
    <n v="176"/>
    <n v="115"/>
    <x v="0"/>
    <x v="1"/>
  </r>
  <r>
    <s v="ACC000321"/>
    <s v="Daniel Harris"/>
    <s v="36415"/>
    <x v="252"/>
    <n v="286"/>
    <n v="27"/>
    <n v="259"/>
    <x v="0"/>
    <x v="2"/>
  </r>
  <r>
    <s v="ACC000322"/>
    <s v="Joseph Hall"/>
    <s v="99213"/>
    <x v="253"/>
    <n v="264"/>
    <n v="260"/>
    <n v="4"/>
    <x v="0"/>
    <x v="4"/>
  </r>
  <r>
    <s v="ACC000323"/>
    <s v="David Walker"/>
    <s v="99213"/>
    <x v="254"/>
    <n v="698"/>
    <n v="355"/>
    <n v="343"/>
    <x v="0"/>
    <x v="0"/>
  </r>
  <r>
    <s v="ACC000324"/>
    <s v="Daniel Clark"/>
    <s v="99214"/>
    <x v="180"/>
    <n v="473"/>
    <n v="417"/>
    <n v="56"/>
    <x v="0"/>
    <x v="1"/>
  </r>
  <r>
    <s v="ACC000325"/>
    <s v="James Clark"/>
    <s v="80050"/>
    <x v="104"/>
    <n v="884"/>
    <n v="394"/>
    <n v="490"/>
    <x v="0"/>
    <x v="2"/>
  </r>
  <r>
    <s v="ACC000326"/>
    <s v="William Johnson"/>
    <s v="99213"/>
    <x v="255"/>
    <n v="531"/>
    <n v="388"/>
    <n v="143"/>
    <x v="0"/>
    <x v="4"/>
  </r>
  <r>
    <s v="ACC000327"/>
    <s v="Robert Brown"/>
    <s v="99213"/>
    <x v="256"/>
    <n v="279"/>
    <n v="180"/>
    <n v="99"/>
    <x v="0"/>
    <x v="2"/>
  </r>
  <r>
    <s v="ACC000328"/>
    <s v="David Clark"/>
    <s v="99213"/>
    <x v="257"/>
    <n v="559"/>
    <n v="318"/>
    <n v="241"/>
    <x v="0"/>
    <x v="0"/>
  </r>
  <r>
    <s v="ACC000329"/>
    <s v="David Anderson"/>
    <s v="36415"/>
    <x v="258"/>
    <n v="161"/>
    <n v="2"/>
    <n v="159"/>
    <x v="0"/>
    <x v="4"/>
  </r>
  <r>
    <s v="ACC000330"/>
    <s v="Charles Anderson"/>
    <s v="99214"/>
    <x v="259"/>
    <n v="981"/>
    <n v="209"/>
    <n v="772"/>
    <x v="0"/>
    <x v="5"/>
  </r>
  <r>
    <s v="ACC000331"/>
    <s v="Robert Taylor"/>
    <s v="93000"/>
    <x v="260"/>
    <n v="270"/>
    <n v="239"/>
    <n v="31"/>
    <x v="0"/>
    <x v="4"/>
  </r>
  <r>
    <s v="ACC000332"/>
    <s v="Robert Taylor"/>
    <s v="36415"/>
    <x v="90"/>
    <n v="227"/>
    <n v="110"/>
    <n v="117"/>
    <x v="0"/>
    <x v="1"/>
  </r>
  <r>
    <s v="ACC000333"/>
    <s v="Charles Taylor"/>
    <s v="99213"/>
    <x v="261"/>
    <n v="865"/>
    <n v="115"/>
    <n v="750"/>
    <x v="0"/>
    <x v="0"/>
  </r>
  <r>
    <s v="ACC000334"/>
    <s v="Thomas Anderson"/>
    <s v="93000"/>
    <x v="239"/>
    <n v="562"/>
    <n v="212"/>
    <n v="350"/>
    <x v="0"/>
    <x v="0"/>
  </r>
  <r>
    <s v="ACC000335"/>
    <s v="David Harris"/>
    <s v="99214"/>
    <x v="49"/>
    <n v="123"/>
    <n v="85"/>
    <n v="38"/>
    <x v="0"/>
    <x v="2"/>
  </r>
  <r>
    <s v="ACC000336"/>
    <s v="Daniel Anderson"/>
    <s v="93000"/>
    <x v="262"/>
    <n v="780"/>
    <n v="646"/>
    <n v="134"/>
    <x v="0"/>
    <x v="1"/>
  </r>
  <r>
    <s v="ACC000337"/>
    <s v="William Anderson"/>
    <s v="99214"/>
    <x v="263"/>
    <n v="100"/>
    <n v="17"/>
    <n v="83"/>
    <x v="0"/>
    <x v="4"/>
  </r>
  <r>
    <s v="ACC000338"/>
    <s v="David Anderson"/>
    <s v="99214"/>
    <x v="135"/>
    <n v="810"/>
    <n v="350"/>
    <n v="460"/>
    <x v="0"/>
    <x v="5"/>
  </r>
  <r>
    <s v="ACC000339"/>
    <s v="William Smith"/>
    <s v="93000"/>
    <x v="100"/>
    <n v="821"/>
    <n v="566"/>
    <n v="255"/>
    <x v="0"/>
    <x v="4"/>
  </r>
  <r>
    <s v="ACC000340"/>
    <s v="William Hall"/>
    <s v="93000"/>
    <x v="264"/>
    <n v="771"/>
    <n v="407"/>
    <n v="364"/>
    <x v="0"/>
    <x v="5"/>
  </r>
  <r>
    <s v="ACC000341"/>
    <s v="John Brown"/>
    <s v="93000"/>
    <x v="106"/>
    <n v="851"/>
    <n v="840"/>
    <n v="11"/>
    <x v="0"/>
    <x v="5"/>
  </r>
  <r>
    <s v="ACC000342"/>
    <s v="Robert Walker"/>
    <s v="80050"/>
    <x v="256"/>
    <n v="171"/>
    <n v="122"/>
    <n v="49"/>
    <x v="0"/>
    <x v="4"/>
  </r>
  <r>
    <s v="ACC000343"/>
    <s v="Robert Johnson"/>
    <s v="99214"/>
    <x v="265"/>
    <n v="697"/>
    <n v="44"/>
    <n v="653"/>
    <x v="0"/>
    <x v="5"/>
  </r>
  <r>
    <s v="ACC000344"/>
    <s v="Thomas Brown"/>
    <s v="99213"/>
    <x v="266"/>
    <n v="150"/>
    <n v="88"/>
    <n v="62"/>
    <x v="0"/>
    <x v="2"/>
  </r>
  <r>
    <s v="ACC000345"/>
    <s v="David Walker"/>
    <s v="36415"/>
    <x v="267"/>
    <n v="495"/>
    <n v="171"/>
    <n v="324"/>
    <x v="0"/>
    <x v="5"/>
  </r>
  <r>
    <s v="ACC000346"/>
    <s v="William Lewis"/>
    <s v="93000"/>
    <x v="136"/>
    <n v="434"/>
    <n v="163"/>
    <n v="271"/>
    <x v="0"/>
    <x v="2"/>
  </r>
  <r>
    <s v="ACC000347"/>
    <s v="Robert Brown"/>
    <s v="36415"/>
    <x v="268"/>
    <n v="249"/>
    <n v="157"/>
    <n v="92"/>
    <x v="0"/>
    <x v="1"/>
  </r>
  <r>
    <s v="ACC000348"/>
    <s v="John Walker"/>
    <s v="36415"/>
    <x v="161"/>
    <n v="748"/>
    <n v="603"/>
    <n v="145"/>
    <x v="0"/>
    <x v="5"/>
  </r>
  <r>
    <s v="ACC000349"/>
    <s v="John Hall"/>
    <s v="36415"/>
    <x v="269"/>
    <n v="756"/>
    <n v="452"/>
    <n v="304"/>
    <x v="0"/>
    <x v="3"/>
  </r>
  <r>
    <s v="ACC000350"/>
    <s v="Joseph Brown"/>
    <s v="36415"/>
    <x v="220"/>
    <n v="397"/>
    <n v="5"/>
    <n v="392"/>
    <x v="0"/>
    <x v="5"/>
  </r>
  <r>
    <s v="ACC000351"/>
    <s v="Daniel Taylor"/>
    <s v="99214"/>
    <x v="270"/>
    <n v="651"/>
    <n v="426"/>
    <n v="225"/>
    <x v="0"/>
    <x v="1"/>
  </r>
  <r>
    <s v="ACC000352"/>
    <s v="Charles Lewis"/>
    <s v="36415"/>
    <x v="271"/>
    <n v="265"/>
    <n v="39"/>
    <n v="226"/>
    <x v="0"/>
    <x v="0"/>
  </r>
  <r>
    <s v="ACC000353"/>
    <s v="Thomas Hall"/>
    <s v="36415"/>
    <x v="107"/>
    <n v="113"/>
    <n v="33"/>
    <n v="80"/>
    <x v="0"/>
    <x v="3"/>
  </r>
  <r>
    <s v="ACC000354"/>
    <s v="Thomas Taylor"/>
    <s v="99213"/>
    <x v="67"/>
    <n v="539"/>
    <n v="9"/>
    <n v="530"/>
    <x v="0"/>
    <x v="5"/>
  </r>
  <r>
    <s v="ACC000355"/>
    <s v="Thomas Clark"/>
    <s v="93000"/>
    <x v="272"/>
    <n v="660"/>
    <n v="283"/>
    <n v="377"/>
    <x v="0"/>
    <x v="5"/>
  </r>
  <r>
    <s v="ACC000356"/>
    <s v="Charles Anderson"/>
    <s v="71020"/>
    <x v="158"/>
    <n v="705"/>
    <n v="631"/>
    <n v="74"/>
    <x v="0"/>
    <x v="4"/>
  </r>
  <r>
    <s v="ACC000357"/>
    <s v="Daniel Smith"/>
    <s v="99213"/>
    <x v="240"/>
    <n v="457"/>
    <n v="276"/>
    <n v="181"/>
    <x v="0"/>
    <x v="1"/>
  </r>
  <r>
    <s v="ACC000358"/>
    <s v="John Smith"/>
    <s v="99214"/>
    <x v="273"/>
    <n v="910"/>
    <n v="461"/>
    <n v="449"/>
    <x v="0"/>
    <x v="4"/>
  </r>
  <r>
    <s v="ACC000359"/>
    <s v="Michael Johnson"/>
    <s v="71020"/>
    <x v="190"/>
    <n v="415"/>
    <n v="354"/>
    <n v="61"/>
    <x v="0"/>
    <x v="4"/>
  </r>
  <r>
    <s v="ACC000360"/>
    <s v="John Smith"/>
    <s v="99214"/>
    <x v="274"/>
    <n v="957"/>
    <n v="491"/>
    <n v="466"/>
    <x v="0"/>
    <x v="5"/>
  </r>
  <r>
    <s v="ACC000361"/>
    <s v="Charles Clark"/>
    <s v="99213"/>
    <x v="275"/>
    <n v="919"/>
    <n v="813"/>
    <n v="106"/>
    <x v="0"/>
    <x v="3"/>
  </r>
  <r>
    <s v="ACC000362"/>
    <s v="Robert Hall"/>
    <s v="80050"/>
    <x v="146"/>
    <n v="583"/>
    <n v="183"/>
    <n v="400"/>
    <x v="0"/>
    <x v="4"/>
  </r>
  <r>
    <s v="ACC000363"/>
    <s v="Joseph Clark"/>
    <s v="71020"/>
    <x v="276"/>
    <n v="109"/>
    <n v="33"/>
    <n v="76"/>
    <x v="0"/>
    <x v="0"/>
  </r>
  <r>
    <s v="ACC000364"/>
    <s v="Michael Harris"/>
    <s v="71020"/>
    <x v="277"/>
    <n v="330"/>
    <n v="319"/>
    <n v="11"/>
    <x v="0"/>
    <x v="3"/>
  </r>
  <r>
    <s v="ACC000365"/>
    <s v="Charles Walker"/>
    <s v="80050"/>
    <x v="94"/>
    <n v="349"/>
    <n v="228"/>
    <n v="121"/>
    <x v="0"/>
    <x v="3"/>
  </r>
  <r>
    <s v="ACC000366"/>
    <s v="Michael Johnson"/>
    <s v="99214"/>
    <x v="278"/>
    <n v="953"/>
    <n v="193"/>
    <n v="760"/>
    <x v="0"/>
    <x v="0"/>
  </r>
  <r>
    <s v="ACC000367"/>
    <s v="David Harris"/>
    <s v="93000"/>
    <x v="279"/>
    <n v="159"/>
    <n v="29"/>
    <n v="130"/>
    <x v="0"/>
    <x v="2"/>
  </r>
  <r>
    <s v="ACC000368"/>
    <s v="David Hall"/>
    <s v="93000"/>
    <x v="188"/>
    <n v="128"/>
    <n v="61"/>
    <n v="67"/>
    <x v="0"/>
    <x v="3"/>
  </r>
  <r>
    <s v="ACC000369"/>
    <s v="Joseph Brown"/>
    <s v="36415"/>
    <x v="280"/>
    <n v="581"/>
    <n v="155"/>
    <n v="426"/>
    <x v="0"/>
    <x v="1"/>
  </r>
  <r>
    <s v="ACC000370"/>
    <s v="Robert Taylor"/>
    <s v="80050"/>
    <x v="281"/>
    <n v="981"/>
    <n v="265"/>
    <n v="716"/>
    <x v="0"/>
    <x v="2"/>
  </r>
  <r>
    <s v="ACC000371"/>
    <s v="Thomas Anderson"/>
    <s v="80050"/>
    <x v="282"/>
    <n v="116"/>
    <n v="39"/>
    <n v="77"/>
    <x v="0"/>
    <x v="5"/>
  </r>
  <r>
    <s v="ACC000372"/>
    <s v="Joseph Harris"/>
    <s v="71020"/>
    <x v="25"/>
    <n v="930"/>
    <n v="761"/>
    <n v="169"/>
    <x v="0"/>
    <x v="5"/>
  </r>
  <r>
    <s v="ACC000373"/>
    <s v="Daniel Lewis"/>
    <s v="80050"/>
    <x v="84"/>
    <n v="289"/>
    <n v="145"/>
    <n v="144"/>
    <x v="0"/>
    <x v="1"/>
  </r>
  <r>
    <s v="ACC000374"/>
    <s v="Joseph Clark"/>
    <s v="80050"/>
    <x v="218"/>
    <n v="143"/>
    <n v="62"/>
    <n v="81"/>
    <x v="0"/>
    <x v="4"/>
  </r>
  <r>
    <s v="ACC000375"/>
    <s v="John Clark"/>
    <s v="36415"/>
    <x v="96"/>
    <n v="917"/>
    <n v="612"/>
    <n v="305"/>
    <x v="0"/>
    <x v="4"/>
  </r>
  <r>
    <s v="ACC000376"/>
    <s v="John Anderson"/>
    <s v="80050"/>
    <x v="269"/>
    <n v="509"/>
    <n v="496"/>
    <n v="13"/>
    <x v="0"/>
    <x v="3"/>
  </r>
  <r>
    <s v="ACC000377"/>
    <s v="Robert Lewis"/>
    <s v="93000"/>
    <x v="283"/>
    <n v="698"/>
    <n v="141"/>
    <n v="557"/>
    <x v="0"/>
    <x v="3"/>
  </r>
  <r>
    <s v="ACC000378"/>
    <s v="William Brown"/>
    <s v="36415"/>
    <x v="284"/>
    <n v="948"/>
    <n v="594"/>
    <n v="354"/>
    <x v="0"/>
    <x v="5"/>
  </r>
  <r>
    <s v="ACC000379"/>
    <s v="Joseph Harris"/>
    <s v="93000"/>
    <x v="285"/>
    <n v="828"/>
    <n v="398"/>
    <n v="430"/>
    <x v="0"/>
    <x v="1"/>
  </r>
  <r>
    <s v="ACC000380"/>
    <s v="William Lewis"/>
    <s v="36415"/>
    <x v="286"/>
    <n v="700"/>
    <n v="658"/>
    <n v="42"/>
    <x v="0"/>
    <x v="2"/>
  </r>
  <r>
    <s v="ACC000381"/>
    <s v="Michael Brown"/>
    <s v="80050"/>
    <x v="50"/>
    <n v="366"/>
    <n v="206"/>
    <n v="160"/>
    <x v="0"/>
    <x v="3"/>
  </r>
  <r>
    <s v="ACC000382"/>
    <s v="David Anderson"/>
    <s v="80050"/>
    <x v="96"/>
    <n v="906"/>
    <n v="75"/>
    <n v="831"/>
    <x v="0"/>
    <x v="5"/>
  </r>
  <r>
    <s v="ACC000383"/>
    <s v="Charles Anderson"/>
    <s v="80050"/>
    <x v="287"/>
    <n v="591"/>
    <n v="132"/>
    <n v="459"/>
    <x v="0"/>
    <x v="3"/>
  </r>
  <r>
    <s v="ACC000384"/>
    <s v="Robert Taylor"/>
    <s v="99214"/>
    <x v="288"/>
    <n v="420"/>
    <n v="80"/>
    <n v="340"/>
    <x v="0"/>
    <x v="3"/>
  </r>
  <r>
    <s v="ACC000385"/>
    <s v="Thomas Harris"/>
    <s v="99214"/>
    <x v="179"/>
    <n v="152"/>
    <n v="4"/>
    <n v="148"/>
    <x v="0"/>
    <x v="0"/>
  </r>
  <r>
    <s v="ACC000386"/>
    <s v="Joseph Harris"/>
    <s v="71020"/>
    <x v="289"/>
    <n v="166"/>
    <n v="82"/>
    <n v="84"/>
    <x v="0"/>
    <x v="1"/>
  </r>
  <r>
    <s v="ACC000387"/>
    <s v="Daniel Smith"/>
    <s v="99213"/>
    <x v="179"/>
    <n v="787"/>
    <n v="283"/>
    <n v="504"/>
    <x v="0"/>
    <x v="3"/>
  </r>
  <r>
    <s v="ACC000388"/>
    <s v="John Smith"/>
    <s v="99213"/>
    <x v="209"/>
    <n v="228"/>
    <n v="76"/>
    <n v="152"/>
    <x v="0"/>
    <x v="4"/>
  </r>
  <r>
    <s v="ACC000389"/>
    <s v="David Smith"/>
    <s v="80050"/>
    <x v="159"/>
    <n v="463"/>
    <n v="67"/>
    <n v="396"/>
    <x v="0"/>
    <x v="4"/>
  </r>
  <r>
    <s v="ACC000390"/>
    <s v="David Lewis"/>
    <s v="99214"/>
    <x v="290"/>
    <n v="722"/>
    <n v="201"/>
    <n v="521"/>
    <x v="0"/>
    <x v="5"/>
  </r>
  <r>
    <s v="ACC000391"/>
    <s v="Daniel Johnson"/>
    <s v="99214"/>
    <x v="291"/>
    <n v="457"/>
    <n v="449"/>
    <n v="8"/>
    <x v="0"/>
    <x v="2"/>
  </r>
  <r>
    <s v="ACC000392"/>
    <s v="David Johnson"/>
    <s v="80050"/>
    <x v="57"/>
    <n v="244"/>
    <n v="142"/>
    <n v="102"/>
    <x v="0"/>
    <x v="0"/>
  </r>
  <r>
    <s v="ACC000393"/>
    <s v="Robert Lewis"/>
    <s v="71020"/>
    <x v="292"/>
    <n v="299"/>
    <n v="82"/>
    <n v="217"/>
    <x v="0"/>
    <x v="3"/>
  </r>
  <r>
    <s v="ACC000394"/>
    <s v="Charles Clark"/>
    <s v="99214"/>
    <x v="293"/>
    <n v="668"/>
    <n v="574"/>
    <n v="94"/>
    <x v="0"/>
    <x v="4"/>
  </r>
  <r>
    <s v="ACC000395"/>
    <s v="Thomas Hall"/>
    <s v="36415"/>
    <x v="294"/>
    <n v="648"/>
    <n v="563"/>
    <n v="85"/>
    <x v="0"/>
    <x v="1"/>
  </r>
  <r>
    <s v="ACC000396"/>
    <s v="Joseph Harris"/>
    <s v="93000"/>
    <x v="198"/>
    <n v="119"/>
    <n v="68"/>
    <n v="51"/>
    <x v="0"/>
    <x v="3"/>
  </r>
  <r>
    <s v="ACC000397"/>
    <s v="Thomas Clark"/>
    <s v="99214"/>
    <x v="289"/>
    <n v="511"/>
    <n v="480"/>
    <n v="31"/>
    <x v="0"/>
    <x v="1"/>
  </r>
  <r>
    <s v="ACC000398"/>
    <s v="John Hall"/>
    <s v="80050"/>
    <x v="3"/>
    <n v="561"/>
    <n v="272"/>
    <n v="289"/>
    <x v="0"/>
    <x v="4"/>
  </r>
  <r>
    <s v="ACC000399"/>
    <s v="William Smith"/>
    <s v="99213"/>
    <x v="295"/>
    <n v="393"/>
    <n v="218"/>
    <n v="175"/>
    <x v="0"/>
    <x v="4"/>
  </r>
  <r>
    <s v="ACC000400"/>
    <s v="William Smith"/>
    <s v="99214"/>
    <x v="269"/>
    <n v="491"/>
    <n v="81"/>
    <n v="410"/>
    <x v="0"/>
    <x v="2"/>
  </r>
  <r>
    <s v="ACC000401"/>
    <s v="William Lewis"/>
    <s v="93000"/>
    <x v="296"/>
    <n v="644"/>
    <n v="557"/>
    <n v="87"/>
    <x v="0"/>
    <x v="2"/>
  </r>
  <r>
    <s v="ACC000402"/>
    <s v="Joseph Clark"/>
    <s v="93000"/>
    <x v="297"/>
    <n v="884"/>
    <n v="689"/>
    <n v="195"/>
    <x v="0"/>
    <x v="4"/>
  </r>
  <r>
    <s v="ACC000403"/>
    <s v="Charles Smith"/>
    <s v="99213"/>
    <x v="298"/>
    <n v="852"/>
    <n v="393"/>
    <n v="459"/>
    <x v="0"/>
    <x v="0"/>
  </r>
  <r>
    <s v="ACC000404"/>
    <s v="Thomas Taylor"/>
    <s v="93000"/>
    <x v="82"/>
    <n v="817"/>
    <n v="415"/>
    <n v="402"/>
    <x v="0"/>
    <x v="5"/>
  </r>
  <r>
    <s v="ACC000405"/>
    <s v="Charles Anderson"/>
    <s v="80050"/>
    <x v="299"/>
    <n v="569"/>
    <n v="208"/>
    <n v="361"/>
    <x v="0"/>
    <x v="0"/>
  </r>
  <r>
    <s v="ACC000406"/>
    <s v="Michael Lewis"/>
    <s v="99213"/>
    <x v="162"/>
    <n v="861"/>
    <n v="813"/>
    <n v="48"/>
    <x v="0"/>
    <x v="3"/>
  </r>
  <r>
    <s v="ACC000407"/>
    <s v="Charles Clark"/>
    <s v="93000"/>
    <x v="122"/>
    <n v="764"/>
    <n v="162"/>
    <n v="602"/>
    <x v="0"/>
    <x v="0"/>
  </r>
  <r>
    <s v="ACC000408"/>
    <s v="Robert Walker"/>
    <s v="93000"/>
    <x v="300"/>
    <n v="397"/>
    <n v="311"/>
    <n v="86"/>
    <x v="0"/>
    <x v="0"/>
  </r>
  <r>
    <s v="ACC000409"/>
    <s v="James Anderson"/>
    <s v="93000"/>
    <x v="167"/>
    <n v="593"/>
    <n v="408"/>
    <n v="185"/>
    <x v="0"/>
    <x v="2"/>
  </r>
  <r>
    <s v="ACC000410"/>
    <s v="Robert Anderson"/>
    <s v="71020"/>
    <x v="301"/>
    <n v="389"/>
    <n v="327"/>
    <n v="62"/>
    <x v="0"/>
    <x v="0"/>
  </r>
  <r>
    <s v="ACC000411"/>
    <s v="Charles Taylor"/>
    <s v="80050"/>
    <x v="46"/>
    <n v="568"/>
    <n v="507"/>
    <n v="61"/>
    <x v="0"/>
    <x v="5"/>
  </r>
  <r>
    <s v="ACC000412"/>
    <s v="David Brown"/>
    <s v="99214"/>
    <x v="302"/>
    <n v="522"/>
    <n v="117"/>
    <n v="405"/>
    <x v="0"/>
    <x v="5"/>
  </r>
  <r>
    <s v="ACC000413"/>
    <s v="Michael Walker"/>
    <s v="36415"/>
    <x v="303"/>
    <n v="992"/>
    <n v="779"/>
    <n v="213"/>
    <x v="0"/>
    <x v="0"/>
  </r>
  <r>
    <s v="ACC000414"/>
    <s v="William Lewis"/>
    <s v="99213"/>
    <x v="304"/>
    <n v="773"/>
    <n v="523"/>
    <n v="250"/>
    <x v="0"/>
    <x v="4"/>
  </r>
  <r>
    <s v="ACC000415"/>
    <s v="Daniel Lewis"/>
    <s v="80050"/>
    <x v="288"/>
    <n v="470"/>
    <n v="276"/>
    <n v="194"/>
    <x v="0"/>
    <x v="5"/>
  </r>
  <r>
    <s v="ACC000416"/>
    <s v="Robert Anderson"/>
    <s v="99213"/>
    <x v="305"/>
    <n v="616"/>
    <n v="333"/>
    <n v="283"/>
    <x v="0"/>
    <x v="5"/>
  </r>
  <r>
    <s v="ACC000417"/>
    <s v="Joseph Walker"/>
    <s v="80050"/>
    <x v="211"/>
    <n v="954"/>
    <n v="264"/>
    <n v="690"/>
    <x v="0"/>
    <x v="0"/>
  </r>
  <r>
    <s v="ACC000418"/>
    <s v="Joseph Harris"/>
    <s v="80050"/>
    <x v="240"/>
    <n v="253"/>
    <n v="90"/>
    <n v="163"/>
    <x v="0"/>
    <x v="3"/>
  </r>
  <r>
    <s v="ACC000419"/>
    <s v="Charles Walker"/>
    <s v="80050"/>
    <x v="306"/>
    <n v="366"/>
    <n v="215"/>
    <n v="151"/>
    <x v="0"/>
    <x v="5"/>
  </r>
  <r>
    <s v="ACC000420"/>
    <s v="Charles Anderson"/>
    <s v="99214"/>
    <x v="129"/>
    <n v="762"/>
    <n v="585"/>
    <n v="177"/>
    <x v="0"/>
    <x v="3"/>
  </r>
  <r>
    <s v="ACC000421"/>
    <s v="Daniel Anderson"/>
    <s v="71020"/>
    <x v="307"/>
    <n v="472"/>
    <n v="194"/>
    <n v="278"/>
    <x v="0"/>
    <x v="3"/>
  </r>
  <r>
    <s v="ACC000422"/>
    <s v="Thomas Anderson"/>
    <s v="36415"/>
    <x v="308"/>
    <n v="713"/>
    <n v="178"/>
    <n v="535"/>
    <x v="0"/>
    <x v="1"/>
  </r>
  <r>
    <s v="ACC000423"/>
    <s v="David Harris"/>
    <s v="99213"/>
    <x v="309"/>
    <n v="625"/>
    <n v="469"/>
    <n v="156"/>
    <x v="0"/>
    <x v="0"/>
  </r>
  <r>
    <s v="ACC000424"/>
    <s v="Daniel Smith"/>
    <s v="36415"/>
    <x v="279"/>
    <n v="178"/>
    <n v="89"/>
    <n v="89"/>
    <x v="0"/>
    <x v="2"/>
  </r>
  <r>
    <s v="ACC000425"/>
    <s v="Joseph Brown"/>
    <s v="99214"/>
    <x v="268"/>
    <n v="697"/>
    <n v="174"/>
    <n v="523"/>
    <x v="0"/>
    <x v="3"/>
  </r>
  <r>
    <s v="ACC000426"/>
    <s v="Michael Anderson"/>
    <s v="71020"/>
    <x v="310"/>
    <n v="718"/>
    <n v="373"/>
    <n v="345"/>
    <x v="0"/>
    <x v="4"/>
  </r>
  <r>
    <s v="ACC000427"/>
    <s v="Robert Walker"/>
    <s v="71020"/>
    <x v="259"/>
    <n v="620"/>
    <n v="482"/>
    <n v="138"/>
    <x v="0"/>
    <x v="5"/>
  </r>
  <r>
    <s v="ACC000428"/>
    <s v="Robert Clark"/>
    <s v="71020"/>
    <x v="311"/>
    <n v="400"/>
    <n v="145"/>
    <n v="255"/>
    <x v="0"/>
    <x v="2"/>
  </r>
  <r>
    <s v="ACC000429"/>
    <s v="Michael Anderson"/>
    <s v="93000"/>
    <x v="117"/>
    <n v="644"/>
    <n v="347"/>
    <n v="297"/>
    <x v="0"/>
    <x v="4"/>
  </r>
  <r>
    <s v="ACC000430"/>
    <s v="John Harris"/>
    <s v="99214"/>
    <x v="312"/>
    <n v="173"/>
    <n v="48"/>
    <n v="125"/>
    <x v="0"/>
    <x v="4"/>
  </r>
  <r>
    <s v="ACC000431"/>
    <s v="Charles Walker"/>
    <s v="36415"/>
    <x v="313"/>
    <n v="159"/>
    <n v="118"/>
    <n v="41"/>
    <x v="0"/>
    <x v="1"/>
  </r>
  <r>
    <s v="ACC000432"/>
    <s v="William Walker"/>
    <s v="99213"/>
    <x v="314"/>
    <n v="338"/>
    <n v="291"/>
    <n v="47"/>
    <x v="0"/>
    <x v="3"/>
  </r>
  <r>
    <s v="ACC000433"/>
    <s v="David Clark"/>
    <s v="99214"/>
    <x v="71"/>
    <n v="113"/>
    <n v="21"/>
    <n v="92"/>
    <x v="0"/>
    <x v="4"/>
  </r>
  <r>
    <s v="ACC000434"/>
    <s v="Robert Walker"/>
    <s v="93000"/>
    <x v="207"/>
    <n v="603"/>
    <n v="142"/>
    <n v="461"/>
    <x v="0"/>
    <x v="1"/>
  </r>
  <r>
    <s v="ACC000435"/>
    <s v="Michael Anderson"/>
    <s v="93000"/>
    <x v="315"/>
    <n v="139"/>
    <n v="92"/>
    <n v="47"/>
    <x v="0"/>
    <x v="2"/>
  </r>
  <r>
    <s v="ACC000436"/>
    <s v="Joseph Smith"/>
    <s v="99214"/>
    <x v="316"/>
    <n v="127"/>
    <n v="49"/>
    <n v="78"/>
    <x v="0"/>
    <x v="2"/>
  </r>
  <r>
    <s v="ACC000437"/>
    <s v="David Johnson"/>
    <s v="99213"/>
    <x v="205"/>
    <n v="713"/>
    <n v="299"/>
    <n v="414"/>
    <x v="0"/>
    <x v="3"/>
  </r>
  <r>
    <s v="ACC000438"/>
    <s v="Thomas Lewis"/>
    <s v="36415"/>
    <x v="75"/>
    <n v="321"/>
    <n v="217"/>
    <n v="104"/>
    <x v="0"/>
    <x v="4"/>
  </r>
  <r>
    <s v="ACC000439"/>
    <s v="Joseph Clark"/>
    <s v="99213"/>
    <x v="317"/>
    <n v="549"/>
    <n v="522"/>
    <n v="27"/>
    <x v="0"/>
    <x v="1"/>
  </r>
  <r>
    <s v="ACC000440"/>
    <s v="John Smith"/>
    <s v="99214"/>
    <x v="50"/>
    <n v="773"/>
    <n v="646"/>
    <n v="127"/>
    <x v="0"/>
    <x v="0"/>
  </r>
  <r>
    <s v="ACC000441"/>
    <s v="Daniel Johnson"/>
    <s v="71020"/>
    <x v="318"/>
    <n v="873"/>
    <n v="814"/>
    <n v="59"/>
    <x v="0"/>
    <x v="0"/>
  </r>
  <r>
    <s v="ACC000442"/>
    <s v="Daniel Lewis"/>
    <s v="93000"/>
    <x v="43"/>
    <n v="662"/>
    <n v="95"/>
    <n v="567"/>
    <x v="0"/>
    <x v="1"/>
  </r>
  <r>
    <s v="ACC000443"/>
    <s v="Michael Lewis"/>
    <s v="36415"/>
    <x v="319"/>
    <n v="467"/>
    <n v="446"/>
    <n v="21"/>
    <x v="0"/>
    <x v="5"/>
  </r>
  <r>
    <s v="ACC000444"/>
    <s v="John Brown"/>
    <s v="93000"/>
    <x v="320"/>
    <n v="281"/>
    <n v="46"/>
    <n v="235"/>
    <x v="0"/>
    <x v="1"/>
  </r>
  <r>
    <s v="ACC000445"/>
    <s v="John Walker"/>
    <s v="80050"/>
    <x v="321"/>
    <n v="499"/>
    <n v="34"/>
    <n v="465"/>
    <x v="0"/>
    <x v="0"/>
  </r>
  <r>
    <s v="ACC000446"/>
    <s v="William Brown"/>
    <s v="99213"/>
    <x v="140"/>
    <n v="302"/>
    <n v="254"/>
    <n v="48"/>
    <x v="0"/>
    <x v="3"/>
  </r>
  <r>
    <s v="ACC000447"/>
    <s v="William Johnson"/>
    <s v="99214"/>
    <x v="16"/>
    <n v="342"/>
    <n v="156"/>
    <n v="186"/>
    <x v="0"/>
    <x v="0"/>
  </r>
  <r>
    <s v="ACC000448"/>
    <s v="William Smith"/>
    <s v="99214"/>
    <x v="272"/>
    <n v="227"/>
    <n v="26"/>
    <n v="201"/>
    <x v="0"/>
    <x v="3"/>
  </r>
  <r>
    <s v="ACC000449"/>
    <s v="Joseph Smith"/>
    <s v="36415"/>
    <x v="31"/>
    <n v="815"/>
    <n v="730"/>
    <n v="85"/>
    <x v="0"/>
    <x v="4"/>
  </r>
  <r>
    <s v="ACC000450"/>
    <s v="Michael Clark"/>
    <s v="99213"/>
    <x v="49"/>
    <n v="244"/>
    <n v="199"/>
    <n v="45"/>
    <x v="0"/>
    <x v="2"/>
  </r>
  <r>
    <s v="ACC000451"/>
    <s v="Joseph Taylor"/>
    <s v="71020"/>
    <x v="152"/>
    <n v="678"/>
    <n v="202"/>
    <n v="476"/>
    <x v="0"/>
    <x v="3"/>
  </r>
  <r>
    <s v="ACC000452"/>
    <s v="Daniel Clark"/>
    <s v="71020"/>
    <x v="322"/>
    <n v="741"/>
    <n v="506"/>
    <n v="235"/>
    <x v="0"/>
    <x v="0"/>
  </r>
  <r>
    <s v="ACC000453"/>
    <s v="Joseph Taylor"/>
    <s v="99214"/>
    <x v="323"/>
    <n v="948"/>
    <n v="55"/>
    <n v="893"/>
    <x v="0"/>
    <x v="2"/>
  </r>
  <r>
    <s v="ACC000454"/>
    <s v="Joseph Clark"/>
    <s v="36415"/>
    <x v="324"/>
    <n v="983"/>
    <n v="485"/>
    <n v="498"/>
    <x v="0"/>
    <x v="0"/>
  </r>
  <r>
    <s v="ACC000455"/>
    <s v="William Brown"/>
    <s v="80050"/>
    <x v="325"/>
    <n v="321"/>
    <n v="289"/>
    <n v="32"/>
    <x v="0"/>
    <x v="2"/>
  </r>
  <r>
    <s v="ACC000456"/>
    <s v="Joseph Harris"/>
    <s v="71020"/>
    <x v="147"/>
    <n v="594"/>
    <n v="33"/>
    <n v="561"/>
    <x v="0"/>
    <x v="0"/>
  </r>
  <r>
    <s v="ACC000457"/>
    <s v="Daniel Smith"/>
    <s v="99213"/>
    <x v="304"/>
    <n v="726"/>
    <n v="146"/>
    <n v="580"/>
    <x v="0"/>
    <x v="3"/>
  </r>
  <r>
    <s v="ACC000458"/>
    <s v="Thomas Harris"/>
    <s v="99213"/>
    <x v="109"/>
    <n v="468"/>
    <n v="374"/>
    <n v="94"/>
    <x v="0"/>
    <x v="3"/>
  </r>
  <r>
    <s v="ACC000459"/>
    <s v="Michael Clark"/>
    <s v="80050"/>
    <x v="326"/>
    <n v="908"/>
    <n v="73"/>
    <n v="835"/>
    <x v="0"/>
    <x v="1"/>
  </r>
  <r>
    <s v="ACC000460"/>
    <s v="Robert Smith"/>
    <s v="99213"/>
    <x v="327"/>
    <n v="584"/>
    <n v="543"/>
    <n v="41"/>
    <x v="0"/>
    <x v="1"/>
  </r>
  <r>
    <s v="ACC000461"/>
    <s v="William Smith"/>
    <s v="80050"/>
    <x v="328"/>
    <n v="642"/>
    <n v="564"/>
    <n v="78"/>
    <x v="0"/>
    <x v="2"/>
  </r>
  <r>
    <s v="ACC000462"/>
    <s v="Charles Anderson"/>
    <s v="80050"/>
    <x v="184"/>
    <n v="749"/>
    <n v="253"/>
    <n v="496"/>
    <x v="0"/>
    <x v="1"/>
  </r>
  <r>
    <s v="ACC000463"/>
    <s v="Michael Smith"/>
    <s v="99214"/>
    <x v="329"/>
    <n v="149"/>
    <n v="18"/>
    <n v="131"/>
    <x v="0"/>
    <x v="3"/>
  </r>
  <r>
    <s v="ACC000464"/>
    <s v="Robert Clark"/>
    <s v="71020"/>
    <x v="330"/>
    <n v="359"/>
    <n v="301"/>
    <n v="58"/>
    <x v="0"/>
    <x v="4"/>
  </r>
  <r>
    <s v="ACC000465"/>
    <s v="Michael Lewis"/>
    <s v="99214"/>
    <x v="86"/>
    <n v="162"/>
    <n v="147"/>
    <n v="15"/>
    <x v="0"/>
    <x v="5"/>
  </r>
  <r>
    <s v="ACC000466"/>
    <s v="James Taylor"/>
    <s v="71020"/>
    <x v="331"/>
    <n v="734"/>
    <n v="668"/>
    <n v="66"/>
    <x v="0"/>
    <x v="3"/>
  </r>
  <r>
    <s v="ACC000467"/>
    <s v="David Hall"/>
    <s v="99213"/>
    <x v="40"/>
    <n v="484"/>
    <n v="144"/>
    <n v="340"/>
    <x v="0"/>
    <x v="3"/>
  </r>
  <r>
    <s v="ACC000468"/>
    <s v="Thomas Harris"/>
    <s v="99214"/>
    <x v="332"/>
    <n v="623"/>
    <n v="550"/>
    <n v="73"/>
    <x v="0"/>
    <x v="0"/>
  </r>
  <r>
    <s v="ACC000469"/>
    <s v="Charles Clark"/>
    <s v="36415"/>
    <x v="333"/>
    <n v="168"/>
    <n v="50"/>
    <n v="118"/>
    <x v="0"/>
    <x v="5"/>
  </r>
  <r>
    <s v="ACC000470"/>
    <s v="Daniel Walker"/>
    <s v="71020"/>
    <x v="35"/>
    <n v="826"/>
    <n v="131"/>
    <n v="695"/>
    <x v="0"/>
    <x v="5"/>
  </r>
  <r>
    <s v="ACC000471"/>
    <s v="James Taylor"/>
    <s v="99214"/>
    <x v="39"/>
    <n v="592"/>
    <n v="408"/>
    <n v="184"/>
    <x v="0"/>
    <x v="1"/>
  </r>
  <r>
    <s v="ACC000472"/>
    <s v="Daniel Brown"/>
    <s v="93000"/>
    <x v="310"/>
    <n v="806"/>
    <n v="439"/>
    <n v="367"/>
    <x v="0"/>
    <x v="0"/>
  </r>
  <r>
    <s v="ACC000473"/>
    <s v="Michael Johnson"/>
    <s v="80050"/>
    <x v="334"/>
    <n v="138"/>
    <n v="23"/>
    <n v="115"/>
    <x v="0"/>
    <x v="3"/>
  </r>
  <r>
    <s v="ACC000474"/>
    <s v="James Walker"/>
    <s v="93000"/>
    <x v="149"/>
    <n v="501"/>
    <n v="13"/>
    <n v="488"/>
    <x v="0"/>
    <x v="2"/>
  </r>
  <r>
    <s v="ACC000475"/>
    <s v="Daniel Anderson"/>
    <s v="99213"/>
    <x v="7"/>
    <n v="793"/>
    <n v="201"/>
    <n v="592"/>
    <x v="0"/>
    <x v="0"/>
  </r>
  <r>
    <s v="ACC000476"/>
    <s v="Daniel Anderson"/>
    <s v="71020"/>
    <x v="314"/>
    <n v="953"/>
    <n v="696"/>
    <n v="257"/>
    <x v="0"/>
    <x v="1"/>
  </r>
  <r>
    <s v="ACC000477"/>
    <s v="David Smith"/>
    <s v="93000"/>
    <x v="220"/>
    <n v="163"/>
    <n v="148"/>
    <n v="15"/>
    <x v="0"/>
    <x v="2"/>
  </r>
  <r>
    <s v="ACC000478"/>
    <s v="Daniel Clark"/>
    <s v="99214"/>
    <x v="335"/>
    <n v="548"/>
    <n v="347"/>
    <n v="201"/>
    <x v="0"/>
    <x v="4"/>
  </r>
  <r>
    <s v="ACC000479"/>
    <s v="Joseph Smith"/>
    <s v="80050"/>
    <x v="332"/>
    <n v="192"/>
    <n v="93"/>
    <n v="99"/>
    <x v="0"/>
    <x v="4"/>
  </r>
  <r>
    <s v="ACC000480"/>
    <s v="William Harris"/>
    <s v="99213"/>
    <x v="183"/>
    <n v="649"/>
    <n v="446"/>
    <n v="203"/>
    <x v="0"/>
    <x v="3"/>
  </r>
  <r>
    <s v="ACC000481"/>
    <s v="Charles Walker"/>
    <s v="71020"/>
    <x v="294"/>
    <n v="209"/>
    <n v="130"/>
    <n v="79"/>
    <x v="0"/>
    <x v="0"/>
  </r>
  <r>
    <s v="ACC000482"/>
    <s v="William Lewis"/>
    <s v="80050"/>
    <x v="110"/>
    <n v="569"/>
    <n v="253"/>
    <n v="316"/>
    <x v="0"/>
    <x v="5"/>
  </r>
  <r>
    <s v="ACC000483"/>
    <s v="Charles Lewis"/>
    <s v="36415"/>
    <x v="336"/>
    <n v="858"/>
    <n v="565"/>
    <n v="293"/>
    <x v="0"/>
    <x v="2"/>
  </r>
  <r>
    <s v="ACC000484"/>
    <s v="Thomas Brown"/>
    <s v="80050"/>
    <x v="337"/>
    <n v="670"/>
    <n v="10"/>
    <n v="660"/>
    <x v="0"/>
    <x v="2"/>
  </r>
  <r>
    <s v="ACC000485"/>
    <s v="William Clark"/>
    <s v="99214"/>
    <x v="188"/>
    <n v="604"/>
    <n v="75"/>
    <n v="529"/>
    <x v="0"/>
    <x v="4"/>
  </r>
  <r>
    <s v="ACC000486"/>
    <s v="Joseph Harris"/>
    <s v="80050"/>
    <x v="65"/>
    <n v="980"/>
    <n v="722"/>
    <n v="258"/>
    <x v="0"/>
    <x v="3"/>
  </r>
  <r>
    <s v="ACC000487"/>
    <s v="Michael Hall"/>
    <s v="93000"/>
    <x v="338"/>
    <n v="100"/>
    <n v="78"/>
    <n v="22"/>
    <x v="0"/>
    <x v="3"/>
  </r>
  <r>
    <s v="ACC000488"/>
    <s v="David Clark"/>
    <s v="36415"/>
    <x v="339"/>
    <n v="211"/>
    <n v="4"/>
    <n v="207"/>
    <x v="0"/>
    <x v="5"/>
  </r>
  <r>
    <s v="ACC000489"/>
    <s v="John Brown"/>
    <s v="93000"/>
    <x v="340"/>
    <n v="177"/>
    <n v="115"/>
    <n v="62"/>
    <x v="0"/>
    <x v="4"/>
  </r>
  <r>
    <s v="ACC000490"/>
    <s v="James Harris"/>
    <s v="99213"/>
    <x v="41"/>
    <n v="810"/>
    <n v="457"/>
    <n v="353"/>
    <x v="0"/>
    <x v="0"/>
  </r>
  <r>
    <s v="ACC000491"/>
    <s v="Robert Brown"/>
    <s v="36415"/>
    <x v="341"/>
    <n v="663"/>
    <n v="536"/>
    <n v="127"/>
    <x v="0"/>
    <x v="2"/>
  </r>
  <r>
    <s v="ACC000492"/>
    <s v="John Taylor"/>
    <s v="99213"/>
    <x v="342"/>
    <n v="762"/>
    <n v="65"/>
    <n v="697"/>
    <x v="0"/>
    <x v="1"/>
  </r>
  <r>
    <s v="ACC000493"/>
    <s v="David Anderson"/>
    <s v="80050"/>
    <x v="311"/>
    <n v="227"/>
    <n v="58"/>
    <n v="169"/>
    <x v="0"/>
    <x v="5"/>
  </r>
  <r>
    <s v="ACC000494"/>
    <s v="Daniel Johnson"/>
    <s v="99214"/>
    <x v="89"/>
    <n v="349"/>
    <n v="9"/>
    <n v="340"/>
    <x v="0"/>
    <x v="1"/>
  </r>
  <r>
    <s v="ACC000495"/>
    <s v="Robert Walker"/>
    <s v="36415"/>
    <x v="343"/>
    <n v="610"/>
    <n v="29"/>
    <n v="581"/>
    <x v="0"/>
    <x v="2"/>
  </r>
  <r>
    <s v="ACC000496"/>
    <s v="James Clark"/>
    <s v="36415"/>
    <x v="344"/>
    <n v="887"/>
    <n v="493"/>
    <n v="394"/>
    <x v="0"/>
    <x v="3"/>
  </r>
  <r>
    <s v="ACC000497"/>
    <s v="Thomas Walker"/>
    <s v="99214"/>
    <x v="345"/>
    <n v="650"/>
    <n v="626"/>
    <n v="24"/>
    <x v="0"/>
    <x v="2"/>
  </r>
  <r>
    <s v="ACC000498"/>
    <s v="James Clark"/>
    <s v="71020"/>
    <x v="142"/>
    <n v="359"/>
    <n v="75"/>
    <n v="284"/>
    <x v="0"/>
    <x v="1"/>
  </r>
  <r>
    <s v="ACC000499"/>
    <s v="Thomas Walker"/>
    <s v="71020"/>
    <x v="98"/>
    <n v="850"/>
    <n v="532"/>
    <n v="318"/>
    <x v="0"/>
    <x v="5"/>
  </r>
  <r>
    <s v="ACC000500"/>
    <s v="Thomas Harris"/>
    <s v="36415"/>
    <x v="346"/>
    <n v="775"/>
    <n v="357"/>
    <n v="418"/>
    <x v="0"/>
    <x v="2"/>
  </r>
  <r>
    <s v="ACC000501"/>
    <s v="Thomas Lewis"/>
    <s v="99214"/>
    <x v="158"/>
    <n v="391"/>
    <n v="208"/>
    <n v="183"/>
    <x v="0"/>
    <x v="3"/>
  </r>
  <r>
    <s v="ACC000502"/>
    <s v="Thomas Lewis"/>
    <s v="80050"/>
    <x v="318"/>
    <n v="776"/>
    <n v="179"/>
    <n v="597"/>
    <x v="0"/>
    <x v="3"/>
  </r>
  <r>
    <s v="ACC000503"/>
    <s v="David Brown"/>
    <s v="80050"/>
    <x v="347"/>
    <n v="333"/>
    <n v="57"/>
    <n v="276"/>
    <x v="0"/>
    <x v="2"/>
  </r>
  <r>
    <s v="ACC000504"/>
    <s v="John Harris"/>
    <s v="99213"/>
    <x v="348"/>
    <n v="144"/>
    <n v="136"/>
    <n v="8"/>
    <x v="0"/>
    <x v="4"/>
  </r>
  <r>
    <s v="ACC000505"/>
    <s v="James Walker"/>
    <s v="80050"/>
    <x v="282"/>
    <n v="898"/>
    <n v="281"/>
    <n v="617"/>
    <x v="0"/>
    <x v="3"/>
  </r>
  <r>
    <s v="ACC000506"/>
    <s v="Charles Clark"/>
    <s v="80050"/>
    <x v="349"/>
    <n v="416"/>
    <n v="73"/>
    <n v="343"/>
    <x v="0"/>
    <x v="1"/>
  </r>
  <r>
    <s v="ACC000507"/>
    <s v="William Harris"/>
    <s v="99214"/>
    <x v="350"/>
    <n v="814"/>
    <n v="297"/>
    <n v="517"/>
    <x v="0"/>
    <x v="2"/>
  </r>
  <r>
    <s v="ACC000508"/>
    <s v="Daniel Lewis"/>
    <s v="93000"/>
    <x v="79"/>
    <n v="342"/>
    <n v="77"/>
    <n v="265"/>
    <x v="0"/>
    <x v="3"/>
  </r>
  <r>
    <s v="ACC000509"/>
    <s v="Michael Anderson"/>
    <s v="71020"/>
    <x v="15"/>
    <n v="266"/>
    <n v="8"/>
    <n v="258"/>
    <x v="0"/>
    <x v="2"/>
  </r>
  <r>
    <s v="ACC000510"/>
    <s v="John Lewis"/>
    <s v="36415"/>
    <x v="351"/>
    <n v="585"/>
    <n v="299"/>
    <n v="286"/>
    <x v="0"/>
    <x v="4"/>
  </r>
  <r>
    <s v="ACC000511"/>
    <s v="William Walker"/>
    <s v="93000"/>
    <x v="175"/>
    <n v="562"/>
    <n v="76"/>
    <n v="486"/>
    <x v="0"/>
    <x v="1"/>
  </r>
  <r>
    <s v="ACC000512"/>
    <s v="Joseph Clark"/>
    <s v="99213"/>
    <x v="35"/>
    <n v="844"/>
    <n v="110"/>
    <n v="734"/>
    <x v="0"/>
    <x v="5"/>
  </r>
  <r>
    <s v="ACC000513"/>
    <s v="John Lewis"/>
    <s v="99213"/>
    <x v="352"/>
    <n v="915"/>
    <n v="357"/>
    <n v="558"/>
    <x v="0"/>
    <x v="4"/>
  </r>
  <r>
    <s v="ACC000514"/>
    <s v="David Hall"/>
    <s v="99214"/>
    <x v="353"/>
    <n v="756"/>
    <n v="435"/>
    <n v="321"/>
    <x v="0"/>
    <x v="2"/>
  </r>
  <r>
    <s v="ACC000515"/>
    <s v="Michael Taylor"/>
    <s v="93000"/>
    <x v="354"/>
    <n v="972"/>
    <n v="698"/>
    <n v="274"/>
    <x v="0"/>
    <x v="3"/>
  </r>
  <r>
    <s v="ACC000516"/>
    <s v="James Clark"/>
    <s v="80050"/>
    <x v="16"/>
    <n v="913"/>
    <n v="318"/>
    <n v="595"/>
    <x v="0"/>
    <x v="0"/>
  </r>
  <r>
    <s v="ACC000517"/>
    <s v="Thomas Anderson"/>
    <s v="36415"/>
    <x v="355"/>
    <n v="883"/>
    <n v="773"/>
    <n v="110"/>
    <x v="0"/>
    <x v="4"/>
  </r>
  <r>
    <s v="ACC000518"/>
    <s v="John Anderson"/>
    <s v="99214"/>
    <x v="92"/>
    <n v="803"/>
    <n v="173"/>
    <n v="630"/>
    <x v="0"/>
    <x v="3"/>
  </r>
  <r>
    <s v="ACC000519"/>
    <s v="David Hall"/>
    <s v="80050"/>
    <x v="356"/>
    <n v="175"/>
    <n v="11"/>
    <n v="164"/>
    <x v="0"/>
    <x v="4"/>
  </r>
  <r>
    <s v="ACC000520"/>
    <s v="Joseph Brown"/>
    <s v="36415"/>
    <x v="357"/>
    <n v="846"/>
    <n v="331"/>
    <n v="515"/>
    <x v="0"/>
    <x v="2"/>
  </r>
  <r>
    <s v="ACC000521"/>
    <s v="David Taylor"/>
    <s v="36415"/>
    <x v="358"/>
    <n v="366"/>
    <n v="97"/>
    <n v="269"/>
    <x v="0"/>
    <x v="2"/>
  </r>
  <r>
    <s v="ACC000522"/>
    <s v="John Smith"/>
    <s v="36415"/>
    <x v="5"/>
    <n v="769"/>
    <n v="476"/>
    <n v="293"/>
    <x v="0"/>
    <x v="5"/>
  </r>
  <r>
    <s v="ACC000523"/>
    <s v="John Smith"/>
    <s v="80050"/>
    <x v="100"/>
    <n v="857"/>
    <n v="786"/>
    <n v="71"/>
    <x v="0"/>
    <x v="1"/>
  </r>
  <r>
    <s v="ACC000524"/>
    <s v="Robert Johnson"/>
    <s v="99213"/>
    <x v="359"/>
    <n v="200"/>
    <n v="102"/>
    <n v="98"/>
    <x v="0"/>
    <x v="0"/>
  </r>
  <r>
    <s v="ACC000525"/>
    <s v="Joseph Smith"/>
    <s v="93000"/>
    <x v="360"/>
    <n v="733"/>
    <n v="282"/>
    <n v="451"/>
    <x v="0"/>
    <x v="1"/>
  </r>
  <r>
    <s v="ACC000526"/>
    <s v="Michael Clark"/>
    <s v="99214"/>
    <x v="361"/>
    <n v="166"/>
    <n v="129"/>
    <n v="37"/>
    <x v="0"/>
    <x v="5"/>
  </r>
  <r>
    <s v="ACC000527"/>
    <s v="Daniel Lewis"/>
    <s v="71020"/>
    <x v="337"/>
    <n v="853"/>
    <n v="587"/>
    <n v="266"/>
    <x v="0"/>
    <x v="2"/>
  </r>
  <r>
    <s v="ACC000528"/>
    <s v="Joseph Johnson"/>
    <s v="71020"/>
    <x v="16"/>
    <n v="520"/>
    <n v="253"/>
    <n v="267"/>
    <x v="0"/>
    <x v="2"/>
  </r>
  <r>
    <s v="ACC000529"/>
    <s v="James Harris"/>
    <s v="36415"/>
    <x v="362"/>
    <n v="138"/>
    <n v="109"/>
    <n v="29"/>
    <x v="0"/>
    <x v="2"/>
  </r>
  <r>
    <s v="ACC000530"/>
    <s v="John Clark"/>
    <s v="99214"/>
    <x v="309"/>
    <n v="785"/>
    <n v="257"/>
    <n v="528"/>
    <x v="0"/>
    <x v="4"/>
  </r>
  <r>
    <s v="ACC000531"/>
    <s v="Charles Harris"/>
    <s v="80050"/>
    <x v="363"/>
    <n v="757"/>
    <n v="543"/>
    <n v="214"/>
    <x v="0"/>
    <x v="2"/>
  </r>
  <r>
    <s v="ACC000532"/>
    <s v="Thomas Walker"/>
    <s v="36415"/>
    <x v="223"/>
    <n v="750"/>
    <n v="593"/>
    <n v="157"/>
    <x v="0"/>
    <x v="4"/>
  </r>
  <r>
    <s v="ACC000533"/>
    <s v="William Smith"/>
    <s v="71020"/>
    <x v="364"/>
    <n v="255"/>
    <n v="93"/>
    <n v="162"/>
    <x v="0"/>
    <x v="3"/>
  </r>
  <r>
    <s v="ACC000534"/>
    <s v="Joseph Brown"/>
    <s v="71020"/>
    <x v="71"/>
    <n v="368"/>
    <n v="213"/>
    <n v="155"/>
    <x v="0"/>
    <x v="5"/>
  </r>
  <r>
    <s v="ACC000535"/>
    <s v="Joseph Smith"/>
    <s v="71020"/>
    <x v="365"/>
    <n v="102"/>
    <n v="22"/>
    <n v="80"/>
    <x v="0"/>
    <x v="4"/>
  </r>
  <r>
    <s v="ACC000536"/>
    <s v="Charles Hall"/>
    <s v="80050"/>
    <x v="366"/>
    <n v="919"/>
    <n v="116"/>
    <n v="803"/>
    <x v="0"/>
    <x v="4"/>
  </r>
  <r>
    <s v="ACC000537"/>
    <s v="Thomas Hall"/>
    <s v="99214"/>
    <x v="78"/>
    <n v="334"/>
    <n v="248"/>
    <n v="86"/>
    <x v="0"/>
    <x v="2"/>
  </r>
  <r>
    <s v="ACC000538"/>
    <s v="John Johnson"/>
    <s v="36415"/>
    <x v="218"/>
    <n v="393"/>
    <n v="330"/>
    <n v="63"/>
    <x v="0"/>
    <x v="5"/>
  </r>
  <r>
    <s v="ACC000539"/>
    <s v="Charles Hall"/>
    <s v="93000"/>
    <x v="94"/>
    <n v="208"/>
    <n v="203"/>
    <n v="5"/>
    <x v="0"/>
    <x v="0"/>
  </r>
  <r>
    <s v="ACC000540"/>
    <s v="Robert Lewis"/>
    <s v="71020"/>
    <x v="367"/>
    <n v="359"/>
    <n v="164"/>
    <n v="195"/>
    <x v="0"/>
    <x v="4"/>
  </r>
  <r>
    <s v="ACC000541"/>
    <s v="Thomas Brown"/>
    <s v="93000"/>
    <x v="290"/>
    <n v="831"/>
    <n v="197"/>
    <n v="634"/>
    <x v="0"/>
    <x v="0"/>
  </r>
  <r>
    <s v="ACC000542"/>
    <s v="John Hall"/>
    <s v="93000"/>
    <x v="30"/>
    <n v="182"/>
    <n v="111"/>
    <n v="71"/>
    <x v="0"/>
    <x v="0"/>
  </r>
  <r>
    <s v="ACC000543"/>
    <s v="Thomas Anderson"/>
    <s v="99213"/>
    <x v="320"/>
    <n v="263"/>
    <n v="161"/>
    <n v="102"/>
    <x v="0"/>
    <x v="4"/>
  </r>
  <r>
    <s v="ACC000544"/>
    <s v="David Walker"/>
    <s v="99213"/>
    <x v="368"/>
    <n v="130"/>
    <n v="41"/>
    <n v="89"/>
    <x v="0"/>
    <x v="0"/>
  </r>
  <r>
    <s v="ACC000545"/>
    <s v="Robert Hall"/>
    <s v="99213"/>
    <x v="369"/>
    <n v="900"/>
    <n v="51"/>
    <n v="849"/>
    <x v="0"/>
    <x v="2"/>
  </r>
  <r>
    <s v="ACC000546"/>
    <s v="Daniel Clark"/>
    <s v="93000"/>
    <x v="279"/>
    <n v="318"/>
    <n v="151"/>
    <n v="167"/>
    <x v="0"/>
    <x v="2"/>
  </r>
  <r>
    <s v="ACC000547"/>
    <s v="Michael Smith"/>
    <s v="99214"/>
    <x v="370"/>
    <n v="160"/>
    <n v="82"/>
    <n v="78"/>
    <x v="0"/>
    <x v="2"/>
  </r>
  <r>
    <s v="ACC000548"/>
    <s v="John Hall"/>
    <s v="36415"/>
    <x v="70"/>
    <n v="451"/>
    <n v="369"/>
    <n v="82"/>
    <x v="0"/>
    <x v="5"/>
  </r>
  <r>
    <s v="ACC000549"/>
    <s v="David Lewis"/>
    <s v="80050"/>
    <x v="371"/>
    <n v="192"/>
    <n v="126"/>
    <n v="66"/>
    <x v="0"/>
    <x v="1"/>
  </r>
  <r>
    <s v="ACC000550"/>
    <s v="David Johnson"/>
    <s v="36415"/>
    <x v="372"/>
    <n v="895"/>
    <n v="552"/>
    <n v="343"/>
    <x v="0"/>
    <x v="2"/>
  </r>
  <r>
    <s v="ACC000551"/>
    <s v="William Brown"/>
    <s v="71020"/>
    <x v="263"/>
    <n v="196"/>
    <n v="54"/>
    <n v="142"/>
    <x v="0"/>
    <x v="2"/>
  </r>
  <r>
    <s v="ACC000552"/>
    <s v="William Johnson"/>
    <s v="80050"/>
    <x v="140"/>
    <n v="126"/>
    <n v="100"/>
    <n v="26"/>
    <x v="0"/>
    <x v="3"/>
  </r>
  <r>
    <s v="ACC000553"/>
    <s v="David Anderson"/>
    <s v="99213"/>
    <x v="337"/>
    <n v="153"/>
    <n v="149"/>
    <n v="4"/>
    <x v="0"/>
    <x v="0"/>
  </r>
  <r>
    <s v="ACC000554"/>
    <s v="Robert Clark"/>
    <s v="80050"/>
    <x v="105"/>
    <n v="951"/>
    <n v="733"/>
    <n v="218"/>
    <x v="0"/>
    <x v="2"/>
  </r>
  <r>
    <s v="ACC000555"/>
    <s v="Michael Harris"/>
    <s v="71020"/>
    <x v="266"/>
    <n v="435"/>
    <n v="261"/>
    <n v="174"/>
    <x v="0"/>
    <x v="5"/>
  </r>
  <r>
    <s v="ACC000556"/>
    <s v="Thomas Walker"/>
    <s v="36415"/>
    <x v="108"/>
    <n v="374"/>
    <n v="329"/>
    <n v="45"/>
    <x v="0"/>
    <x v="3"/>
  </r>
  <r>
    <s v="ACC000557"/>
    <s v="Daniel Walker"/>
    <s v="99213"/>
    <x v="141"/>
    <n v="475"/>
    <n v="435"/>
    <n v="40"/>
    <x v="0"/>
    <x v="1"/>
  </r>
  <r>
    <s v="ACC000558"/>
    <s v="James Clark"/>
    <s v="99214"/>
    <x v="373"/>
    <n v="968"/>
    <n v="145"/>
    <n v="823"/>
    <x v="0"/>
    <x v="2"/>
  </r>
  <r>
    <s v="ACC000559"/>
    <s v="Daniel Hall"/>
    <s v="71020"/>
    <x v="247"/>
    <n v="960"/>
    <n v="364"/>
    <n v="596"/>
    <x v="0"/>
    <x v="5"/>
  </r>
  <r>
    <s v="ACC000560"/>
    <s v="Joseph Hall"/>
    <s v="99214"/>
    <x v="346"/>
    <n v="937"/>
    <n v="386"/>
    <n v="551"/>
    <x v="0"/>
    <x v="4"/>
  </r>
  <r>
    <s v="ACC000561"/>
    <s v="Robert Taylor"/>
    <s v="93000"/>
    <x v="374"/>
    <n v="649"/>
    <n v="116"/>
    <n v="533"/>
    <x v="0"/>
    <x v="4"/>
  </r>
  <r>
    <s v="ACC000562"/>
    <s v="David Hall"/>
    <s v="80050"/>
    <x v="375"/>
    <n v="844"/>
    <n v="764"/>
    <n v="80"/>
    <x v="0"/>
    <x v="3"/>
  </r>
  <r>
    <s v="ACC000563"/>
    <s v="James Smith"/>
    <s v="80050"/>
    <x v="167"/>
    <n v="925"/>
    <n v="662"/>
    <n v="263"/>
    <x v="0"/>
    <x v="4"/>
  </r>
  <r>
    <s v="ACC000564"/>
    <s v="James Brown"/>
    <s v="80050"/>
    <x v="376"/>
    <n v="967"/>
    <n v="741"/>
    <n v="226"/>
    <x v="0"/>
    <x v="3"/>
  </r>
  <r>
    <s v="ACC000565"/>
    <s v="Thomas Lewis"/>
    <s v="99214"/>
    <x v="377"/>
    <n v="520"/>
    <n v="279"/>
    <n v="241"/>
    <x v="0"/>
    <x v="5"/>
  </r>
  <r>
    <s v="ACC000566"/>
    <s v="William Brown"/>
    <s v="71020"/>
    <x v="378"/>
    <n v="719"/>
    <n v="448"/>
    <n v="271"/>
    <x v="0"/>
    <x v="2"/>
  </r>
  <r>
    <s v="ACC000567"/>
    <s v="Michael Johnson"/>
    <s v="99213"/>
    <x v="379"/>
    <n v="935"/>
    <n v="559"/>
    <n v="376"/>
    <x v="0"/>
    <x v="5"/>
  </r>
  <r>
    <s v="ACC000568"/>
    <s v="William Hall"/>
    <s v="93000"/>
    <x v="239"/>
    <n v="844"/>
    <n v="647"/>
    <n v="197"/>
    <x v="0"/>
    <x v="1"/>
  </r>
  <r>
    <s v="ACC000569"/>
    <s v="James Smith"/>
    <s v="99213"/>
    <x v="45"/>
    <n v="633"/>
    <n v="123"/>
    <n v="510"/>
    <x v="0"/>
    <x v="0"/>
  </r>
  <r>
    <s v="ACC000570"/>
    <s v="Joseph Clark"/>
    <s v="93000"/>
    <x v="190"/>
    <n v="174"/>
    <n v="57"/>
    <n v="117"/>
    <x v="0"/>
    <x v="3"/>
  </r>
  <r>
    <s v="ACC000571"/>
    <s v="Thomas Hall"/>
    <s v="93000"/>
    <x v="330"/>
    <n v="584"/>
    <n v="293"/>
    <n v="291"/>
    <x v="0"/>
    <x v="1"/>
  </r>
  <r>
    <s v="ACC000572"/>
    <s v="James Johnson"/>
    <s v="93000"/>
    <x v="44"/>
    <n v="516"/>
    <n v="33"/>
    <n v="483"/>
    <x v="0"/>
    <x v="1"/>
  </r>
  <r>
    <s v="ACC000573"/>
    <s v="William Harris"/>
    <s v="99213"/>
    <x v="112"/>
    <n v="983"/>
    <n v="773"/>
    <n v="210"/>
    <x v="0"/>
    <x v="2"/>
  </r>
  <r>
    <s v="ACC000574"/>
    <s v="Michael Hall"/>
    <s v="99214"/>
    <x v="380"/>
    <n v="700"/>
    <n v="389"/>
    <n v="311"/>
    <x v="0"/>
    <x v="5"/>
  </r>
  <r>
    <s v="ACC000575"/>
    <s v="Daniel Hall"/>
    <s v="36415"/>
    <x v="381"/>
    <n v="909"/>
    <n v="266"/>
    <n v="643"/>
    <x v="0"/>
    <x v="3"/>
  </r>
  <r>
    <s v="ACC000576"/>
    <s v="Daniel Smith"/>
    <s v="99213"/>
    <x v="38"/>
    <n v="814"/>
    <n v="723"/>
    <n v="91"/>
    <x v="0"/>
    <x v="3"/>
  </r>
  <r>
    <s v="ACC000577"/>
    <s v="Joseph Hall"/>
    <s v="71020"/>
    <x v="358"/>
    <n v="164"/>
    <n v="10"/>
    <n v="154"/>
    <x v="0"/>
    <x v="5"/>
  </r>
  <r>
    <s v="ACC000578"/>
    <s v="William Lewis"/>
    <s v="36415"/>
    <x v="27"/>
    <n v="934"/>
    <n v="416"/>
    <n v="518"/>
    <x v="0"/>
    <x v="2"/>
  </r>
  <r>
    <s v="ACC000579"/>
    <s v="James Anderson"/>
    <s v="93000"/>
    <x v="185"/>
    <n v="136"/>
    <n v="14"/>
    <n v="122"/>
    <x v="0"/>
    <x v="3"/>
  </r>
  <r>
    <s v="ACC000580"/>
    <s v="Michael Hall"/>
    <s v="93000"/>
    <x v="161"/>
    <n v="987"/>
    <n v="159"/>
    <n v="828"/>
    <x v="0"/>
    <x v="2"/>
  </r>
  <r>
    <s v="ACC000581"/>
    <s v="Robert Johnson"/>
    <s v="80050"/>
    <x v="336"/>
    <n v="380"/>
    <n v="23"/>
    <n v="357"/>
    <x v="0"/>
    <x v="2"/>
  </r>
  <r>
    <s v="ACC000582"/>
    <s v="David Smith"/>
    <s v="93000"/>
    <x v="194"/>
    <n v="871"/>
    <n v="445"/>
    <n v="426"/>
    <x v="0"/>
    <x v="5"/>
  </r>
  <r>
    <s v="ACC000583"/>
    <s v="David Hall"/>
    <s v="99214"/>
    <x v="352"/>
    <n v="813"/>
    <n v="137"/>
    <n v="676"/>
    <x v="0"/>
    <x v="5"/>
  </r>
  <r>
    <s v="ACC000584"/>
    <s v="David Lewis"/>
    <s v="71020"/>
    <x v="285"/>
    <n v="177"/>
    <n v="172"/>
    <n v="5"/>
    <x v="0"/>
    <x v="3"/>
  </r>
  <r>
    <s v="ACC000585"/>
    <s v="John Anderson"/>
    <s v="71020"/>
    <x v="256"/>
    <n v="643"/>
    <n v="149"/>
    <n v="494"/>
    <x v="0"/>
    <x v="5"/>
  </r>
  <r>
    <s v="ACC000586"/>
    <s v="Thomas Brown"/>
    <s v="71020"/>
    <x v="382"/>
    <n v="639"/>
    <n v="405"/>
    <n v="234"/>
    <x v="0"/>
    <x v="4"/>
  </r>
  <r>
    <s v="ACC000587"/>
    <s v="Thomas Harris"/>
    <s v="93000"/>
    <x v="225"/>
    <n v="357"/>
    <n v="29"/>
    <n v="328"/>
    <x v="0"/>
    <x v="2"/>
  </r>
  <r>
    <s v="ACC000588"/>
    <s v="David Taylor"/>
    <s v="93000"/>
    <x v="383"/>
    <n v="980"/>
    <n v="961"/>
    <n v="19"/>
    <x v="0"/>
    <x v="5"/>
  </r>
  <r>
    <s v="ACC000589"/>
    <s v="Michael Taylor"/>
    <s v="36415"/>
    <x v="280"/>
    <n v="861"/>
    <n v="551"/>
    <n v="310"/>
    <x v="0"/>
    <x v="4"/>
  </r>
  <r>
    <s v="ACC000590"/>
    <s v="Michael Harris"/>
    <s v="80050"/>
    <x v="384"/>
    <n v="163"/>
    <n v="126"/>
    <n v="37"/>
    <x v="0"/>
    <x v="1"/>
  </r>
  <r>
    <s v="ACC000591"/>
    <s v="John Taylor"/>
    <s v="99213"/>
    <x v="385"/>
    <n v="416"/>
    <n v="371"/>
    <n v="45"/>
    <x v="0"/>
    <x v="4"/>
  </r>
  <r>
    <s v="ACC000592"/>
    <s v="Daniel Taylor"/>
    <s v="80050"/>
    <x v="386"/>
    <n v="524"/>
    <n v="286"/>
    <n v="238"/>
    <x v="0"/>
    <x v="3"/>
  </r>
  <r>
    <s v="ACC000593"/>
    <s v="Joseph Smith"/>
    <s v="36415"/>
    <x v="387"/>
    <n v="686"/>
    <n v="509"/>
    <n v="177"/>
    <x v="0"/>
    <x v="4"/>
  </r>
  <r>
    <s v="ACC000594"/>
    <s v="Thomas Clark"/>
    <s v="99213"/>
    <x v="388"/>
    <n v="855"/>
    <n v="637"/>
    <n v="218"/>
    <x v="0"/>
    <x v="1"/>
  </r>
  <r>
    <s v="ACC000595"/>
    <s v="James Anderson"/>
    <s v="99213"/>
    <x v="389"/>
    <n v="956"/>
    <n v="827"/>
    <n v="129"/>
    <x v="0"/>
    <x v="3"/>
  </r>
  <r>
    <s v="ACC000596"/>
    <s v="Daniel Anderson"/>
    <s v="93000"/>
    <x v="390"/>
    <n v="143"/>
    <n v="68"/>
    <n v="75"/>
    <x v="0"/>
    <x v="2"/>
  </r>
  <r>
    <s v="ACC000597"/>
    <s v="William Hall"/>
    <s v="99213"/>
    <x v="60"/>
    <n v="552"/>
    <n v="317"/>
    <n v="235"/>
    <x v="0"/>
    <x v="4"/>
  </r>
  <r>
    <s v="ACC000598"/>
    <s v="Michael Taylor"/>
    <s v="36415"/>
    <x v="391"/>
    <n v="135"/>
    <n v="126"/>
    <n v="9"/>
    <x v="0"/>
    <x v="1"/>
  </r>
  <r>
    <s v="ACC000599"/>
    <s v="James Clark"/>
    <s v="99214"/>
    <x v="199"/>
    <n v="536"/>
    <n v="155"/>
    <n v="381"/>
    <x v="0"/>
    <x v="1"/>
  </r>
  <r>
    <s v="ACC000600"/>
    <s v="Joseph Clark"/>
    <s v="36415"/>
    <x v="392"/>
    <n v="452"/>
    <n v="202"/>
    <n v="250"/>
    <x v="0"/>
    <x v="3"/>
  </r>
  <r>
    <s v="ACC000601"/>
    <s v="Michael Anderson"/>
    <s v="36415"/>
    <x v="393"/>
    <n v="138"/>
    <n v="64"/>
    <n v="74"/>
    <x v="0"/>
    <x v="1"/>
  </r>
  <r>
    <s v="ACC000602"/>
    <s v="Robert Smith"/>
    <s v="36415"/>
    <x v="304"/>
    <n v="651"/>
    <n v="615"/>
    <n v="36"/>
    <x v="0"/>
    <x v="1"/>
  </r>
  <r>
    <s v="ACC000603"/>
    <s v="David Anderson"/>
    <s v="36415"/>
    <x v="91"/>
    <n v="163"/>
    <n v="155"/>
    <n v="8"/>
    <x v="0"/>
    <x v="5"/>
  </r>
  <r>
    <s v="ACC000604"/>
    <s v="Michael Walker"/>
    <s v="99213"/>
    <x v="313"/>
    <n v="956"/>
    <n v="206"/>
    <n v="750"/>
    <x v="0"/>
    <x v="4"/>
  </r>
  <r>
    <s v="ACC000605"/>
    <s v="Joseph Lewis"/>
    <s v="93000"/>
    <x v="394"/>
    <n v="595"/>
    <n v="466"/>
    <n v="129"/>
    <x v="0"/>
    <x v="5"/>
  </r>
  <r>
    <s v="ACC000606"/>
    <s v="Michael Smith"/>
    <s v="99213"/>
    <x v="389"/>
    <n v="310"/>
    <n v="207"/>
    <n v="103"/>
    <x v="0"/>
    <x v="0"/>
  </r>
  <r>
    <s v="ACC000607"/>
    <s v="Robert Brown"/>
    <s v="99213"/>
    <x v="256"/>
    <n v="510"/>
    <n v="198"/>
    <n v="312"/>
    <x v="0"/>
    <x v="1"/>
  </r>
  <r>
    <s v="ACC000608"/>
    <s v="David Harris"/>
    <s v="99213"/>
    <x v="335"/>
    <n v="580"/>
    <n v="234"/>
    <n v="346"/>
    <x v="0"/>
    <x v="1"/>
  </r>
  <r>
    <s v="ACC000609"/>
    <s v="Joseph Clark"/>
    <s v="71020"/>
    <x v="395"/>
    <n v="411"/>
    <n v="118"/>
    <n v="293"/>
    <x v="0"/>
    <x v="4"/>
  </r>
  <r>
    <s v="ACC000610"/>
    <s v="Michael Anderson"/>
    <s v="99213"/>
    <x v="139"/>
    <n v="591"/>
    <n v="589"/>
    <n v="2"/>
    <x v="0"/>
    <x v="4"/>
  </r>
  <r>
    <s v="ACC000611"/>
    <s v="Joseph Anderson"/>
    <s v="71020"/>
    <x v="249"/>
    <n v="659"/>
    <n v="622"/>
    <n v="37"/>
    <x v="0"/>
    <x v="3"/>
  </r>
  <r>
    <s v="ACC000612"/>
    <s v="Thomas Taylor"/>
    <s v="80050"/>
    <x v="396"/>
    <n v="690"/>
    <n v="77"/>
    <n v="613"/>
    <x v="0"/>
    <x v="4"/>
  </r>
  <r>
    <s v="ACC000613"/>
    <s v="Joseph Walker"/>
    <s v="99214"/>
    <x v="163"/>
    <n v="691"/>
    <n v="140"/>
    <n v="551"/>
    <x v="0"/>
    <x v="4"/>
  </r>
  <r>
    <s v="ACC000614"/>
    <s v="William Harris"/>
    <s v="93000"/>
    <x v="397"/>
    <n v="185"/>
    <n v="168"/>
    <n v="17"/>
    <x v="0"/>
    <x v="1"/>
  </r>
  <r>
    <s v="ACC000615"/>
    <s v="Charles Johnson"/>
    <s v="36415"/>
    <x v="319"/>
    <n v="589"/>
    <n v="70"/>
    <n v="519"/>
    <x v="0"/>
    <x v="3"/>
  </r>
  <r>
    <s v="ACC000616"/>
    <s v="Charles Smith"/>
    <s v="99214"/>
    <x v="52"/>
    <n v="653"/>
    <n v="50"/>
    <n v="603"/>
    <x v="0"/>
    <x v="1"/>
  </r>
  <r>
    <s v="ACC000617"/>
    <s v="Charles Taylor"/>
    <s v="80050"/>
    <x v="398"/>
    <n v="385"/>
    <n v="215"/>
    <n v="170"/>
    <x v="0"/>
    <x v="2"/>
  </r>
  <r>
    <s v="ACC000618"/>
    <s v="David Smith"/>
    <s v="80050"/>
    <x v="59"/>
    <n v="267"/>
    <n v="7"/>
    <n v="260"/>
    <x v="0"/>
    <x v="4"/>
  </r>
  <r>
    <s v="ACC000619"/>
    <s v="Thomas Anderson"/>
    <s v="36415"/>
    <x v="399"/>
    <n v="181"/>
    <n v="143"/>
    <n v="38"/>
    <x v="0"/>
    <x v="1"/>
  </r>
  <r>
    <s v="ACC000620"/>
    <s v="Thomas Harris"/>
    <s v="99214"/>
    <x v="210"/>
    <n v="123"/>
    <n v="81"/>
    <n v="42"/>
    <x v="0"/>
    <x v="3"/>
  </r>
  <r>
    <s v="ACC000621"/>
    <s v="Thomas Anderson"/>
    <s v="80050"/>
    <x v="267"/>
    <n v="774"/>
    <n v="475"/>
    <n v="299"/>
    <x v="0"/>
    <x v="2"/>
  </r>
  <r>
    <s v="ACC000622"/>
    <s v="Michael Harris"/>
    <s v="71020"/>
    <x v="364"/>
    <n v="884"/>
    <n v="225"/>
    <n v="659"/>
    <x v="0"/>
    <x v="5"/>
  </r>
  <r>
    <s v="ACC000623"/>
    <s v="Robert Brown"/>
    <s v="99213"/>
    <x v="43"/>
    <n v="855"/>
    <n v="795"/>
    <n v="60"/>
    <x v="0"/>
    <x v="1"/>
  </r>
  <r>
    <s v="ACC000624"/>
    <s v="William Johnson"/>
    <s v="99213"/>
    <x v="170"/>
    <n v="833"/>
    <n v="579"/>
    <n v="254"/>
    <x v="0"/>
    <x v="3"/>
  </r>
  <r>
    <s v="ACC000625"/>
    <s v="Michael Walker"/>
    <s v="36415"/>
    <x v="400"/>
    <n v="962"/>
    <n v="392"/>
    <n v="570"/>
    <x v="0"/>
    <x v="2"/>
  </r>
  <r>
    <s v="ACC000626"/>
    <s v="Joseph Smith"/>
    <s v="99213"/>
    <x v="258"/>
    <n v="549"/>
    <n v="187"/>
    <n v="362"/>
    <x v="0"/>
    <x v="3"/>
  </r>
  <r>
    <s v="ACC000627"/>
    <s v="Thomas Taylor"/>
    <s v="99213"/>
    <x v="401"/>
    <n v="871"/>
    <n v="771"/>
    <n v="100"/>
    <x v="0"/>
    <x v="4"/>
  </r>
  <r>
    <s v="ACC000628"/>
    <s v="David Hall"/>
    <s v="71020"/>
    <x v="345"/>
    <n v="819"/>
    <n v="43"/>
    <n v="776"/>
    <x v="0"/>
    <x v="0"/>
  </r>
  <r>
    <s v="ACC000629"/>
    <s v="Robert Walker"/>
    <s v="93000"/>
    <x v="172"/>
    <n v="425"/>
    <n v="83"/>
    <n v="342"/>
    <x v="0"/>
    <x v="5"/>
  </r>
  <r>
    <s v="ACC000630"/>
    <s v="David Walker"/>
    <s v="93000"/>
    <x v="402"/>
    <n v="727"/>
    <n v="581"/>
    <n v="146"/>
    <x v="0"/>
    <x v="3"/>
  </r>
  <r>
    <s v="ACC000631"/>
    <s v="Thomas Harris"/>
    <s v="36415"/>
    <x v="403"/>
    <n v="818"/>
    <n v="759"/>
    <n v="59"/>
    <x v="0"/>
    <x v="5"/>
  </r>
  <r>
    <s v="ACC000632"/>
    <s v="James Hall"/>
    <s v="99213"/>
    <x v="182"/>
    <n v="971"/>
    <n v="839"/>
    <n v="132"/>
    <x v="0"/>
    <x v="5"/>
  </r>
  <r>
    <s v="ACC000633"/>
    <s v="David Lewis"/>
    <s v="36415"/>
    <x v="369"/>
    <n v="293"/>
    <n v="179"/>
    <n v="114"/>
    <x v="0"/>
    <x v="1"/>
  </r>
  <r>
    <s v="ACC000634"/>
    <s v="Thomas Brown"/>
    <s v="99213"/>
    <x v="91"/>
    <n v="110"/>
    <n v="62"/>
    <n v="48"/>
    <x v="0"/>
    <x v="3"/>
  </r>
  <r>
    <s v="ACC000635"/>
    <s v="William Brown"/>
    <s v="80050"/>
    <x v="379"/>
    <n v="490"/>
    <n v="456"/>
    <n v="34"/>
    <x v="0"/>
    <x v="1"/>
  </r>
  <r>
    <s v="ACC000636"/>
    <s v="Michael Smith"/>
    <s v="93000"/>
    <x v="404"/>
    <n v="295"/>
    <n v="84"/>
    <n v="211"/>
    <x v="0"/>
    <x v="1"/>
  </r>
  <r>
    <s v="ACC000637"/>
    <s v="Robert Hall"/>
    <s v="93000"/>
    <x v="262"/>
    <n v="375"/>
    <n v="204"/>
    <n v="171"/>
    <x v="0"/>
    <x v="2"/>
  </r>
  <r>
    <s v="ACC000638"/>
    <s v="William Brown"/>
    <s v="36415"/>
    <x v="342"/>
    <n v="102"/>
    <n v="43"/>
    <n v="59"/>
    <x v="0"/>
    <x v="0"/>
  </r>
  <r>
    <s v="ACC000639"/>
    <s v="David Harris"/>
    <s v="93000"/>
    <x v="85"/>
    <n v="249"/>
    <n v="204"/>
    <n v="45"/>
    <x v="0"/>
    <x v="2"/>
  </r>
  <r>
    <s v="ACC000640"/>
    <s v="Joseph Walker"/>
    <s v="99214"/>
    <x v="270"/>
    <n v="608"/>
    <n v="348"/>
    <n v="260"/>
    <x v="0"/>
    <x v="4"/>
  </r>
  <r>
    <s v="ACC000641"/>
    <s v="Thomas Clark"/>
    <s v="93000"/>
    <x v="405"/>
    <n v="998"/>
    <n v="923"/>
    <n v="75"/>
    <x v="0"/>
    <x v="0"/>
  </r>
  <r>
    <s v="ACC000642"/>
    <s v="Joseph Taylor"/>
    <s v="99213"/>
    <x v="179"/>
    <n v="609"/>
    <n v="197"/>
    <n v="412"/>
    <x v="0"/>
    <x v="1"/>
  </r>
  <r>
    <s v="ACC000643"/>
    <s v="Joseph Smith"/>
    <s v="71020"/>
    <x v="272"/>
    <n v="255"/>
    <n v="123"/>
    <n v="132"/>
    <x v="0"/>
    <x v="0"/>
  </r>
  <r>
    <s v="ACC000644"/>
    <s v="Robert Anderson"/>
    <s v="36415"/>
    <x v="304"/>
    <n v="523"/>
    <n v="186"/>
    <n v="337"/>
    <x v="0"/>
    <x v="4"/>
  </r>
  <r>
    <s v="ACC000645"/>
    <s v="Charles Taylor"/>
    <s v="36415"/>
    <x v="406"/>
    <n v="301"/>
    <n v="104"/>
    <n v="197"/>
    <x v="0"/>
    <x v="0"/>
  </r>
  <r>
    <s v="ACC000646"/>
    <s v="Robert Hall"/>
    <s v="80050"/>
    <x v="407"/>
    <n v="111"/>
    <n v="57"/>
    <n v="54"/>
    <x v="0"/>
    <x v="0"/>
  </r>
  <r>
    <s v="ACC000647"/>
    <s v="Thomas Harris"/>
    <s v="99213"/>
    <x v="408"/>
    <n v="548"/>
    <n v="363"/>
    <n v="185"/>
    <x v="0"/>
    <x v="3"/>
  </r>
  <r>
    <s v="ACC000648"/>
    <s v="James Smith"/>
    <s v="99214"/>
    <x v="277"/>
    <n v="309"/>
    <n v="252"/>
    <n v="57"/>
    <x v="0"/>
    <x v="1"/>
  </r>
  <r>
    <s v="ACC000649"/>
    <s v="Charles Taylor"/>
    <s v="36415"/>
    <x v="276"/>
    <n v="410"/>
    <n v="80"/>
    <n v="330"/>
    <x v="0"/>
    <x v="0"/>
  </r>
  <r>
    <s v="ACC000650"/>
    <s v="Thomas Harris"/>
    <s v="71020"/>
    <x v="409"/>
    <n v="451"/>
    <n v="420"/>
    <n v="31"/>
    <x v="0"/>
    <x v="3"/>
  </r>
  <r>
    <s v="ACC000651"/>
    <s v="Robert Clark"/>
    <s v="93000"/>
    <x v="177"/>
    <n v="926"/>
    <n v="226"/>
    <n v="700"/>
    <x v="0"/>
    <x v="4"/>
  </r>
  <r>
    <s v="ACC000652"/>
    <s v="William Lewis"/>
    <s v="93000"/>
    <x v="180"/>
    <n v="757"/>
    <n v="525"/>
    <n v="232"/>
    <x v="0"/>
    <x v="4"/>
  </r>
  <r>
    <s v="ACC000653"/>
    <s v="James Taylor"/>
    <s v="99213"/>
    <x v="154"/>
    <n v="727"/>
    <n v="72"/>
    <n v="655"/>
    <x v="0"/>
    <x v="2"/>
  </r>
  <r>
    <s v="ACC000654"/>
    <s v="John Anderson"/>
    <s v="93000"/>
    <x v="162"/>
    <n v="347"/>
    <n v="75"/>
    <n v="272"/>
    <x v="0"/>
    <x v="5"/>
  </r>
  <r>
    <s v="ACC000655"/>
    <s v="Charles Clark"/>
    <s v="99214"/>
    <x v="410"/>
    <n v="484"/>
    <n v="183"/>
    <n v="301"/>
    <x v="0"/>
    <x v="4"/>
  </r>
  <r>
    <s v="ACC000656"/>
    <s v="Michael Brown"/>
    <s v="36415"/>
    <x v="411"/>
    <n v="203"/>
    <n v="151"/>
    <n v="52"/>
    <x v="0"/>
    <x v="4"/>
  </r>
  <r>
    <s v="ACC000657"/>
    <s v="David Harris"/>
    <s v="36415"/>
    <x v="342"/>
    <n v="947"/>
    <n v="448"/>
    <n v="499"/>
    <x v="0"/>
    <x v="1"/>
  </r>
  <r>
    <s v="ACC000658"/>
    <s v="Joseph Taylor"/>
    <s v="71020"/>
    <x v="262"/>
    <n v="757"/>
    <n v="325"/>
    <n v="432"/>
    <x v="0"/>
    <x v="1"/>
  </r>
  <r>
    <s v="ACC000659"/>
    <s v="Robert Taylor"/>
    <s v="99214"/>
    <x v="121"/>
    <n v="984"/>
    <n v="343"/>
    <n v="641"/>
    <x v="0"/>
    <x v="5"/>
  </r>
  <r>
    <s v="ACC000660"/>
    <s v="Michael Clark"/>
    <s v="71020"/>
    <x v="9"/>
    <n v="210"/>
    <n v="71"/>
    <n v="139"/>
    <x v="0"/>
    <x v="1"/>
  </r>
  <r>
    <s v="ACC000661"/>
    <s v="Robert Hall"/>
    <s v="93000"/>
    <x v="412"/>
    <n v="613"/>
    <n v="580"/>
    <n v="33"/>
    <x v="0"/>
    <x v="3"/>
  </r>
  <r>
    <s v="ACC000662"/>
    <s v="William Brown"/>
    <s v="71020"/>
    <x v="122"/>
    <n v="592"/>
    <n v="301"/>
    <n v="291"/>
    <x v="0"/>
    <x v="0"/>
  </r>
  <r>
    <s v="ACC000663"/>
    <s v="Michael Hall"/>
    <s v="36415"/>
    <x v="413"/>
    <n v="702"/>
    <n v="436"/>
    <n v="266"/>
    <x v="0"/>
    <x v="4"/>
  </r>
  <r>
    <s v="ACC000664"/>
    <s v="Joseph Harris"/>
    <s v="36415"/>
    <x v="127"/>
    <n v="329"/>
    <n v="323"/>
    <n v="6"/>
    <x v="0"/>
    <x v="2"/>
  </r>
  <r>
    <s v="ACC000665"/>
    <s v="Charles Walker"/>
    <s v="99213"/>
    <x v="393"/>
    <n v="243"/>
    <n v="228"/>
    <n v="15"/>
    <x v="0"/>
    <x v="0"/>
  </r>
  <r>
    <s v="ACC000666"/>
    <s v="James Johnson"/>
    <s v="36415"/>
    <x v="414"/>
    <n v="942"/>
    <n v="200"/>
    <n v="742"/>
    <x v="0"/>
    <x v="0"/>
  </r>
  <r>
    <s v="ACC000667"/>
    <s v="David Smith"/>
    <s v="93000"/>
    <x v="415"/>
    <n v="846"/>
    <n v="305"/>
    <n v="541"/>
    <x v="0"/>
    <x v="4"/>
  </r>
  <r>
    <s v="ACC000668"/>
    <s v="Michael Anderson"/>
    <s v="99214"/>
    <x v="96"/>
    <n v="922"/>
    <n v="315"/>
    <n v="607"/>
    <x v="0"/>
    <x v="4"/>
  </r>
  <r>
    <s v="ACC000669"/>
    <s v="Robert Brown"/>
    <s v="93000"/>
    <x v="255"/>
    <n v="193"/>
    <n v="130"/>
    <n v="63"/>
    <x v="0"/>
    <x v="0"/>
  </r>
  <r>
    <s v="ACC000670"/>
    <s v="Daniel Lewis"/>
    <s v="71020"/>
    <x v="261"/>
    <n v="651"/>
    <n v="72"/>
    <n v="579"/>
    <x v="0"/>
    <x v="4"/>
  </r>
  <r>
    <s v="ACC000671"/>
    <s v="James Lewis"/>
    <s v="36415"/>
    <x v="124"/>
    <n v="813"/>
    <n v="765"/>
    <n v="48"/>
    <x v="0"/>
    <x v="1"/>
  </r>
  <r>
    <s v="ACC000672"/>
    <s v="James Smith"/>
    <s v="36415"/>
    <x v="184"/>
    <n v="114"/>
    <n v="69"/>
    <n v="45"/>
    <x v="0"/>
    <x v="3"/>
  </r>
  <r>
    <s v="ACC000673"/>
    <s v="Michael Smith"/>
    <s v="80050"/>
    <x v="45"/>
    <n v="940"/>
    <n v="203"/>
    <n v="737"/>
    <x v="0"/>
    <x v="1"/>
  </r>
  <r>
    <s v="ACC000674"/>
    <s v="Joseph Smith"/>
    <s v="99214"/>
    <x v="416"/>
    <n v="218"/>
    <n v="163"/>
    <n v="55"/>
    <x v="0"/>
    <x v="5"/>
  </r>
  <r>
    <s v="ACC000675"/>
    <s v="David Taylor"/>
    <s v="36415"/>
    <x v="417"/>
    <n v="902"/>
    <n v="435"/>
    <n v="467"/>
    <x v="0"/>
    <x v="0"/>
  </r>
  <r>
    <s v="ACC000676"/>
    <s v="Daniel Lewis"/>
    <s v="71020"/>
    <x v="133"/>
    <n v="466"/>
    <n v="434"/>
    <n v="32"/>
    <x v="0"/>
    <x v="2"/>
  </r>
  <r>
    <s v="ACC000677"/>
    <s v="Charles Johnson"/>
    <s v="99214"/>
    <x v="197"/>
    <n v="827"/>
    <n v="624"/>
    <n v="203"/>
    <x v="0"/>
    <x v="1"/>
  </r>
  <r>
    <s v="ACC000678"/>
    <s v="Daniel Brown"/>
    <s v="99213"/>
    <x v="418"/>
    <n v="298"/>
    <n v="6"/>
    <n v="292"/>
    <x v="0"/>
    <x v="2"/>
  </r>
  <r>
    <s v="ACC000679"/>
    <s v="James Clark"/>
    <s v="80050"/>
    <x v="13"/>
    <n v="484"/>
    <n v="364"/>
    <n v="120"/>
    <x v="0"/>
    <x v="3"/>
  </r>
  <r>
    <s v="ACC000680"/>
    <s v="Robert Hall"/>
    <s v="71020"/>
    <x v="356"/>
    <n v="164"/>
    <n v="158"/>
    <n v="6"/>
    <x v="0"/>
    <x v="0"/>
  </r>
  <r>
    <s v="ACC000681"/>
    <s v="James Anderson"/>
    <s v="99214"/>
    <x v="419"/>
    <n v="939"/>
    <n v="469"/>
    <n v="470"/>
    <x v="0"/>
    <x v="3"/>
  </r>
  <r>
    <s v="ACC000682"/>
    <s v="James Clark"/>
    <s v="36415"/>
    <x v="88"/>
    <n v="852"/>
    <n v="166"/>
    <n v="686"/>
    <x v="0"/>
    <x v="4"/>
  </r>
  <r>
    <s v="ACC000683"/>
    <s v="John Smith"/>
    <s v="99214"/>
    <x v="420"/>
    <n v="213"/>
    <n v="176"/>
    <n v="37"/>
    <x v="0"/>
    <x v="0"/>
  </r>
  <r>
    <s v="ACC000684"/>
    <s v="John Lewis"/>
    <s v="36415"/>
    <x v="421"/>
    <n v="639"/>
    <n v="541"/>
    <n v="98"/>
    <x v="0"/>
    <x v="5"/>
  </r>
  <r>
    <s v="ACC000685"/>
    <s v="Robert Anderson"/>
    <s v="99214"/>
    <x v="422"/>
    <n v="258"/>
    <n v="39"/>
    <n v="219"/>
    <x v="0"/>
    <x v="3"/>
  </r>
  <r>
    <s v="ACC000686"/>
    <s v="Michael Taylor"/>
    <s v="71020"/>
    <x v="387"/>
    <n v="946"/>
    <n v="726"/>
    <n v="220"/>
    <x v="0"/>
    <x v="5"/>
  </r>
  <r>
    <s v="ACC000687"/>
    <s v="Robert Walker"/>
    <s v="80050"/>
    <x v="93"/>
    <n v="248"/>
    <n v="42"/>
    <n v="206"/>
    <x v="0"/>
    <x v="5"/>
  </r>
  <r>
    <s v="ACC000688"/>
    <s v="Joseph Johnson"/>
    <s v="80050"/>
    <x v="202"/>
    <n v="597"/>
    <n v="367"/>
    <n v="230"/>
    <x v="0"/>
    <x v="0"/>
  </r>
  <r>
    <s v="ACC000689"/>
    <s v="William Harris"/>
    <s v="36415"/>
    <x v="167"/>
    <n v="304"/>
    <n v="197"/>
    <n v="107"/>
    <x v="0"/>
    <x v="4"/>
  </r>
  <r>
    <s v="ACC000690"/>
    <s v="Joseph Walker"/>
    <s v="99213"/>
    <x v="153"/>
    <n v="841"/>
    <n v="637"/>
    <n v="204"/>
    <x v="0"/>
    <x v="5"/>
  </r>
  <r>
    <s v="ACC000691"/>
    <s v="David Anderson"/>
    <s v="36415"/>
    <x v="194"/>
    <n v="731"/>
    <n v="676"/>
    <n v="55"/>
    <x v="0"/>
    <x v="5"/>
  </r>
  <r>
    <s v="ACC000692"/>
    <s v="Robert Clark"/>
    <s v="80050"/>
    <x v="423"/>
    <n v="283"/>
    <n v="140"/>
    <n v="143"/>
    <x v="0"/>
    <x v="2"/>
  </r>
  <r>
    <s v="ACC000693"/>
    <s v="David Clark"/>
    <s v="71020"/>
    <x v="388"/>
    <n v="570"/>
    <n v="321"/>
    <n v="249"/>
    <x v="0"/>
    <x v="3"/>
  </r>
  <r>
    <s v="ACC000694"/>
    <s v="Joseph Johnson"/>
    <s v="80050"/>
    <x v="351"/>
    <n v="476"/>
    <n v="212"/>
    <n v="264"/>
    <x v="0"/>
    <x v="3"/>
  </r>
  <r>
    <s v="ACC000695"/>
    <s v="Michael Anderson"/>
    <s v="71020"/>
    <x v="424"/>
    <n v="231"/>
    <n v="170"/>
    <n v="61"/>
    <x v="0"/>
    <x v="4"/>
  </r>
  <r>
    <s v="ACC000696"/>
    <s v="Daniel Lewis"/>
    <s v="93000"/>
    <x v="59"/>
    <n v="920"/>
    <n v="766"/>
    <n v="154"/>
    <x v="0"/>
    <x v="3"/>
  </r>
  <r>
    <s v="ACC000697"/>
    <s v="William Hall"/>
    <s v="80050"/>
    <x v="161"/>
    <n v="515"/>
    <n v="169"/>
    <n v="346"/>
    <x v="0"/>
    <x v="3"/>
  </r>
  <r>
    <s v="ACC000698"/>
    <s v="Charles Smith"/>
    <s v="71020"/>
    <x v="214"/>
    <n v="251"/>
    <n v="149"/>
    <n v="102"/>
    <x v="0"/>
    <x v="2"/>
  </r>
  <r>
    <s v="ACC000699"/>
    <s v="Joseph Johnson"/>
    <s v="71020"/>
    <x v="408"/>
    <n v="357"/>
    <n v="297"/>
    <n v="60"/>
    <x v="0"/>
    <x v="5"/>
  </r>
  <r>
    <s v="ACC000700"/>
    <s v="Michael Hall"/>
    <s v="71020"/>
    <x v="425"/>
    <n v="174"/>
    <n v="130"/>
    <n v="44"/>
    <x v="0"/>
    <x v="1"/>
  </r>
  <r>
    <s v="ACC000701"/>
    <s v="John Hall"/>
    <s v="80050"/>
    <x v="426"/>
    <n v="626"/>
    <n v="122"/>
    <n v="504"/>
    <x v="0"/>
    <x v="2"/>
  </r>
  <r>
    <s v="ACC000702"/>
    <s v="Daniel Lewis"/>
    <s v="36415"/>
    <x v="94"/>
    <n v="632"/>
    <n v="336"/>
    <n v="296"/>
    <x v="0"/>
    <x v="4"/>
  </r>
  <r>
    <s v="ACC000703"/>
    <s v="Thomas Walker"/>
    <s v="99214"/>
    <x v="327"/>
    <n v="975"/>
    <n v="598"/>
    <n v="377"/>
    <x v="0"/>
    <x v="4"/>
  </r>
  <r>
    <s v="ACC000704"/>
    <s v="David Anderson"/>
    <s v="80050"/>
    <x v="427"/>
    <n v="105"/>
    <n v="44"/>
    <n v="61"/>
    <x v="0"/>
    <x v="0"/>
  </r>
  <r>
    <s v="ACC000705"/>
    <s v="William Anderson"/>
    <s v="80050"/>
    <x v="21"/>
    <n v="217"/>
    <n v="172"/>
    <n v="45"/>
    <x v="0"/>
    <x v="1"/>
  </r>
  <r>
    <s v="ACC000706"/>
    <s v="Daniel Harris"/>
    <s v="80050"/>
    <x v="428"/>
    <n v="385"/>
    <n v="75"/>
    <n v="310"/>
    <x v="0"/>
    <x v="1"/>
  </r>
  <r>
    <s v="ACC000707"/>
    <s v="David Brown"/>
    <s v="71020"/>
    <x v="74"/>
    <n v="230"/>
    <n v="16"/>
    <n v="214"/>
    <x v="0"/>
    <x v="0"/>
  </r>
  <r>
    <s v="ACC000708"/>
    <s v="Daniel Hall"/>
    <s v="99213"/>
    <x v="383"/>
    <n v="355"/>
    <n v="290"/>
    <n v="65"/>
    <x v="0"/>
    <x v="1"/>
  </r>
  <r>
    <s v="ACC000709"/>
    <s v="James Walker"/>
    <s v="99213"/>
    <x v="173"/>
    <n v="574"/>
    <n v="252"/>
    <n v="322"/>
    <x v="0"/>
    <x v="4"/>
  </r>
  <r>
    <s v="ACC000710"/>
    <s v="Daniel Anderson"/>
    <s v="71020"/>
    <x v="79"/>
    <n v="940"/>
    <n v="30"/>
    <n v="910"/>
    <x v="0"/>
    <x v="2"/>
  </r>
  <r>
    <s v="ACC000711"/>
    <s v="Daniel Smith"/>
    <s v="80050"/>
    <x v="429"/>
    <n v="417"/>
    <n v="293"/>
    <n v="124"/>
    <x v="0"/>
    <x v="4"/>
  </r>
  <r>
    <s v="ACC000712"/>
    <s v="John Taylor"/>
    <s v="99214"/>
    <x v="430"/>
    <n v="845"/>
    <n v="463"/>
    <n v="382"/>
    <x v="0"/>
    <x v="4"/>
  </r>
  <r>
    <s v="ACC000713"/>
    <s v="William Smith"/>
    <s v="99213"/>
    <x v="431"/>
    <n v="373"/>
    <n v="307"/>
    <n v="66"/>
    <x v="0"/>
    <x v="1"/>
  </r>
  <r>
    <s v="ACC000714"/>
    <s v="William Walker"/>
    <s v="93000"/>
    <x v="432"/>
    <n v="561"/>
    <n v="216"/>
    <n v="345"/>
    <x v="0"/>
    <x v="4"/>
  </r>
  <r>
    <s v="ACC000715"/>
    <s v="Joseph Brown"/>
    <s v="71020"/>
    <x v="168"/>
    <n v="964"/>
    <n v="642"/>
    <n v="322"/>
    <x v="0"/>
    <x v="3"/>
  </r>
  <r>
    <s v="ACC000716"/>
    <s v="David Walker"/>
    <s v="80050"/>
    <x v="433"/>
    <n v="455"/>
    <n v="81"/>
    <n v="374"/>
    <x v="0"/>
    <x v="5"/>
  </r>
  <r>
    <s v="ACC000717"/>
    <s v="John Walker"/>
    <s v="93000"/>
    <x v="242"/>
    <n v="853"/>
    <n v="340"/>
    <n v="513"/>
    <x v="0"/>
    <x v="5"/>
  </r>
  <r>
    <s v="ACC000718"/>
    <s v="Michael Clark"/>
    <s v="99213"/>
    <x v="55"/>
    <n v="927"/>
    <n v="193"/>
    <n v="734"/>
    <x v="0"/>
    <x v="4"/>
  </r>
  <r>
    <s v="ACC000719"/>
    <s v="John Lewis"/>
    <s v="93000"/>
    <x v="44"/>
    <n v="855"/>
    <n v="50"/>
    <n v="805"/>
    <x v="0"/>
    <x v="5"/>
  </r>
  <r>
    <s v="ACC000720"/>
    <s v="Daniel Johnson"/>
    <s v="71020"/>
    <x v="434"/>
    <n v="841"/>
    <n v="8"/>
    <n v="833"/>
    <x v="0"/>
    <x v="5"/>
  </r>
  <r>
    <s v="ACC000721"/>
    <s v="Charles Hall"/>
    <s v="99214"/>
    <x v="435"/>
    <n v="342"/>
    <n v="107"/>
    <n v="235"/>
    <x v="0"/>
    <x v="1"/>
  </r>
  <r>
    <s v="ACC000722"/>
    <s v="David Lewis"/>
    <s v="93000"/>
    <x v="436"/>
    <n v="496"/>
    <n v="193"/>
    <n v="303"/>
    <x v="0"/>
    <x v="1"/>
  </r>
  <r>
    <s v="ACC000723"/>
    <s v="Daniel Johnson"/>
    <s v="99214"/>
    <x v="239"/>
    <n v="476"/>
    <n v="93"/>
    <n v="383"/>
    <x v="0"/>
    <x v="3"/>
  </r>
  <r>
    <s v="ACC000724"/>
    <s v="Charles Taylor"/>
    <s v="80050"/>
    <x v="39"/>
    <n v="641"/>
    <n v="268"/>
    <n v="373"/>
    <x v="0"/>
    <x v="2"/>
  </r>
  <r>
    <s v="ACC000725"/>
    <s v="Daniel Lewis"/>
    <s v="71020"/>
    <x v="47"/>
    <n v="187"/>
    <n v="92"/>
    <n v="95"/>
    <x v="0"/>
    <x v="0"/>
  </r>
  <r>
    <s v="ACC000726"/>
    <s v="David Hall"/>
    <s v="36415"/>
    <x v="374"/>
    <n v="465"/>
    <n v="43"/>
    <n v="422"/>
    <x v="0"/>
    <x v="5"/>
  </r>
  <r>
    <s v="ACC000727"/>
    <s v="Michael Clark"/>
    <s v="80050"/>
    <x v="236"/>
    <n v="667"/>
    <n v="70"/>
    <n v="597"/>
    <x v="0"/>
    <x v="4"/>
  </r>
  <r>
    <s v="ACC000728"/>
    <s v="James Taylor"/>
    <s v="36415"/>
    <x v="101"/>
    <n v="823"/>
    <n v="460"/>
    <n v="363"/>
    <x v="0"/>
    <x v="3"/>
  </r>
  <r>
    <s v="ACC000729"/>
    <s v="Joseph Johnson"/>
    <s v="99214"/>
    <x v="82"/>
    <n v="661"/>
    <n v="388"/>
    <n v="273"/>
    <x v="0"/>
    <x v="4"/>
  </r>
  <r>
    <s v="ACC000730"/>
    <s v="John Brown"/>
    <s v="36415"/>
    <x v="269"/>
    <n v="407"/>
    <n v="303"/>
    <n v="104"/>
    <x v="0"/>
    <x v="4"/>
  </r>
  <r>
    <s v="ACC000731"/>
    <s v="John Hall"/>
    <s v="93000"/>
    <x v="437"/>
    <n v="750"/>
    <n v="484"/>
    <n v="266"/>
    <x v="0"/>
    <x v="2"/>
  </r>
  <r>
    <s v="ACC000732"/>
    <s v="Joseph Harris"/>
    <s v="36415"/>
    <x v="299"/>
    <n v="984"/>
    <n v="819"/>
    <n v="165"/>
    <x v="0"/>
    <x v="0"/>
  </r>
  <r>
    <s v="ACC000733"/>
    <s v="Joseph Smith"/>
    <s v="99213"/>
    <x v="330"/>
    <n v="419"/>
    <n v="252"/>
    <n v="167"/>
    <x v="0"/>
    <x v="0"/>
  </r>
  <r>
    <s v="ACC000734"/>
    <s v="William Anderson"/>
    <s v="99214"/>
    <x v="192"/>
    <n v="510"/>
    <n v="291"/>
    <n v="219"/>
    <x v="0"/>
    <x v="2"/>
  </r>
  <r>
    <s v="ACC000735"/>
    <s v="David Taylor"/>
    <s v="93000"/>
    <x v="438"/>
    <n v="762"/>
    <n v="567"/>
    <n v="195"/>
    <x v="0"/>
    <x v="3"/>
  </r>
  <r>
    <s v="ACC000736"/>
    <s v="Charles Smith"/>
    <s v="80050"/>
    <x v="302"/>
    <n v="845"/>
    <n v="104"/>
    <n v="741"/>
    <x v="0"/>
    <x v="3"/>
  </r>
  <r>
    <s v="ACC000737"/>
    <s v="Charles Walker"/>
    <s v="93000"/>
    <x v="313"/>
    <n v="646"/>
    <n v="175"/>
    <n v="471"/>
    <x v="0"/>
    <x v="2"/>
  </r>
  <r>
    <s v="ACC000738"/>
    <s v="John Taylor"/>
    <s v="36415"/>
    <x v="380"/>
    <n v="186"/>
    <n v="161"/>
    <n v="25"/>
    <x v="0"/>
    <x v="3"/>
  </r>
  <r>
    <s v="ACC000739"/>
    <s v="John Walker"/>
    <s v="99214"/>
    <x v="284"/>
    <n v="846"/>
    <n v="521"/>
    <n v="325"/>
    <x v="0"/>
    <x v="3"/>
  </r>
  <r>
    <s v="ACC000740"/>
    <s v="Daniel Lewis"/>
    <s v="36415"/>
    <x v="372"/>
    <n v="742"/>
    <n v="106"/>
    <n v="636"/>
    <x v="0"/>
    <x v="3"/>
  </r>
  <r>
    <s v="ACC000741"/>
    <s v="Daniel Walker"/>
    <s v="99214"/>
    <x v="210"/>
    <n v="297"/>
    <n v="22"/>
    <n v="275"/>
    <x v="0"/>
    <x v="2"/>
  </r>
  <r>
    <s v="ACC000742"/>
    <s v="John Taylor"/>
    <s v="99214"/>
    <x v="282"/>
    <n v="298"/>
    <n v="72"/>
    <n v="226"/>
    <x v="0"/>
    <x v="2"/>
  </r>
  <r>
    <s v="ACC000743"/>
    <s v="Thomas Walker"/>
    <s v="80050"/>
    <x v="124"/>
    <n v="284"/>
    <n v="64"/>
    <n v="220"/>
    <x v="0"/>
    <x v="0"/>
  </r>
  <r>
    <s v="ACC000744"/>
    <s v="Joseph Lewis"/>
    <s v="80050"/>
    <x v="253"/>
    <n v="234"/>
    <n v="47"/>
    <n v="187"/>
    <x v="0"/>
    <x v="0"/>
  </r>
  <r>
    <s v="ACC000745"/>
    <s v="William Brown"/>
    <s v="71020"/>
    <x v="241"/>
    <n v="347"/>
    <n v="185"/>
    <n v="162"/>
    <x v="0"/>
    <x v="2"/>
  </r>
  <r>
    <s v="ACC000746"/>
    <s v="Daniel Walker"/>
    <s v="71020"/>
    <x v="144"/>
    <n v="919"/>
    <n v="145"/>
    <n v="774"/>
    <x v="0"/>
    <x v="4"/>
  </r>
  <r>
    <s v="ACC000747"/>
    <s v="Daniel Brown"/>
    <s v="93000"/>
    <x v="215"/>
    <n v="589"/>
    <n v="403"/>
    <n v="186"/>
    <x v="0"/>
    <x v="1"/>
  </r>
  <r>
    <s v="ACC000748"/>
    <s v="Daniel Lewis"/>
    <s v="80050"/>
    <x v="134"/>
    <n v="391"/>
    <n v="53"/>
    <n v="338"/>
    <x v="0"/>
    <x v="5"/>
  </r>
  <r>
    <s v="ACC000749"/>
    <s v="William Harris"/>
    <s v="99214"/>
    <x v="213"/>
    <n v="889"/>
    <n v="872"/>
    <n v="17"/>
    <x v="0"/>
    <x v="1"/>
  </r>
  <r>
    <s v="ACC000750"/>
    <s v="John Brown"/>
    <s v="36415"/>
    <x v="439"/>
    <n v="516"/>
    <n v="119"/>
    <n v="397"/>
    <x v="0"/>
    <x v="2"/>
  </r>
  <r>
    <s v="ACC000751"/>
    <s v="James Brown"/>
    <s v="80050"/>
    <x v="4"/>
    <n v="955"/>
    <n v="606"/>
    <n v="349"/>
    <x v="0"/>
    <x v="1"/>
  </r>
  <r>
    <s v="ACC000752"/>
    <s v="Thomas Johnson"/>
    <s v="36415"/>
    <x v="280"/>
    <n v="378"/>
    <n v="214"/>
    <n v="164"/>
    <x v="0"/>
    <x v="0"/>
  </r>
  <r>
    <s v="ACC000753"/>
    <s v="David Taylor"/>
    <s v="71020"/>
    <x v="274"/>
    <n v="482"/>
    <n v="470"/>
    <n v="12"/>
    <x v="0"/>
    <x v="2"/>
  </r>
  <r>
    <s v="ACC000754"/>
    <s v="Joseph Lewis"/>
    <s v="99213"/>
    <x v="73"/>
    <n v="335"/>
    <n v="269"/>
    <n v="66"/>
    <x v="0"/>
    <x v="4"/>
  </r>
  <r>
    <s v="ACC000755"/>
    <s v="Michael Johnson"/>
    <s v="99214"/>
    <x v="440"/>
    <n v="548"/>
    <n v="214"/>
    <n v="334"/>
    <x v="0"/>
    <x v="3"/>
  </r>
  <r>
    <s v="ACC000756"/>
    <s v="Thomas Hall"/>
    <s v="36415"/>
    <x v="369"/>
    <n v="619"/>
    <n v="468"/>
    <n v="151"/>
    <x v="0"/>
    <x v="3"/>
  </r>
  <r>
    <s v="ACC000757"/>
    <s v="Thomas Lewis"/>
    <s v="36415"/>
    <x v="441"/>
    <n v="334"/>
    <n v="45"/>
    <n v="289"/>
    <x v="0"/>
    <x v="3"/>
  </r>
  <r>
    <s v="ACC000758"/>
    <s v="Thomas Clark"/>
    <s v="36415"/>
    <x v="442"/>
    <n v="129"/>
    <n v="79"/>
    <n v="50"/>
    <x v="0"/>
    <x v="5"/>
  </r>
  <r>
    <s v="ACC000759"/>
    <s v="Joseph Walker"/>
    <s v="36415"/>
    <x v="443"/>
    <n v="508"/>
    <n v="403"/>
    <n v="105"/>
    <x v="0"/>
    <x v="1"/>
  </r>
  <r>
    <s v="ACC000760"/>
    <s v="James Clark"/>
    <s v="99214"/>
    <x v="444"/>
    <n v="472"/>
    <n v="190"/>
    <n v="282"/>
    <x v="0"/>
    <x v="4"/>
  </r>
  <r>
    <s v="ACC000761"/>
    <s v="Thomas Lewis"/>
    <s v="36415"/>
    <x v="445"/>
    <n v="671"/>
    <n v="399"/>
    <n v="272"/>
    <x v="0"/>
    <x v="0"/>
  </r>
  <r>
    <s v="ACC000762"/>
    <s v="James Smith"/>
    <s v="36415"/>
    <x v="446"/>
    <n v="908"/>
    <n v="142"/>
    <n v="766"/>
    <x v="0"/>
    <x v="2"/>
  </r>
  <r>
    <s v="ACC000763"/>
    <s v="Thomas Brown"/>
    <s v="36415"/>
    <x v="344"/>
    <n v="103"/>
    <n v="50"/>
    <n v="53"/>
    <x v="0"/>
    <x v="2"/>
  </r>
  <r>
    <s v="ACC000764"/>
    <s v="Charles Lewis"/>
    <s v="99214"/>
    <x v="447"/>
    <n v="241"/>
    <n v="162"/>
    <n v="79"/>
    <x v="0"/>
    <x v="2"/>
  </r>
  <r>
    <s v="ACC000765"/>
    <s v="David Hall"/>
    <s v="99213"/>
    <x v="327"/>
    <n v="548"/>
    <n v="0"/>
    <n v="548"/>
    <x v="0"/>
    <x v="3"/>
  </r>
  <r>
    <s v="ACC000766"/>
    <s v="John Lewis"/>
    <s v="93000"/>
    <x v="448"/>
    <n v="626"/>
    <n v="4"/>
    <n v="622"/>
    <x v="0"/>
    <x v="3"/>
  </r>
  <r>
    <s v="ACC000767"/>
    <s v="Charles Harris"/>
    <s v="36415"/>
    <x v="444"/>
    <n v="929"/>
    <n v="22"/>
    <n v="907"/>
    <x v="0"/>
    <x v="2"/>
  </r>
  <r>
    <s v="ACC000768"/>
    <s v="Robert Hall"/>
    <s v="80050"/>
    <x v="449"/>
    <n v="595"/>
    <n v="588"/>
    <n v="7"/>
    <x v="0"/>
    <x v="5"/>
  </r>
  <r>
    <s v="ACC000769"/>
    <s v="John Taylor"/>
    <s v="80050"/>
    <x v="450"/>
    <n v="594"/>
    <n v="397"/>
    <n v="197"/>
    <x v="0"/>
    <x v="4"/>
  </r>
  <r>
    <s v="ACC000770"/>
    <s v="David Johnson"/>
    <s v="99213"/>
    <x v="328"/>
    <n v="336"/>
    <n v="257"/>
    <n v="79"/>
    <x v="0"/>
    <x v="1"/>
  </r>
  <r>
    <s v="ACC000771"/>
    <s v="Robert Harris"/>
    <s v="80050"/>
    <x v="451"/>
    <n v="428"/>
    <n v="138"/>
    <n v="290"/>
    <x v="0"/>
    <x v="2"/>
  </r>
  <r>
    <s v="ACC000772"/>
    <s v="Charles Brown"/>
    <s v="80050"/>
    <x v="204"/>
    <n v="250"/>
    <n v="4"/>
    <n v="246"/>
    <x v="0"/>
    <x v="1"/>
  </r>
  <r>
    <s v="ACC000773"/>
    <s v="William Clark"/>
    <s v="71020"/>
    <x v="283"/>
    <n v="542"/>
    <n v="83"/>
    <n v="459"/>
    <x v="0"/>
    <x v="1"/>
  </r>
  <r>
    <s v="ACC000774"/>
    <s v="Michael Hall"/>
    <s v="80050"/>
    <x v="82"/>
    <n v="862"/>
    <n v="298"/>
    <n v="564"/>
    <x v="0"/>
    <x v="4"/>
  </r>
  <r>
    <s v="ACC000775"/>
    <s v="Thomas Taylor"/>
    <s v="80050"/>
    <x v="64"/>
    <n v="152"/>
    <n v="130"/>
    <n v="22"/>
    <x v="0"/>
    <x v="3"/>
  </r>
  <r>
    <s v="ACC000776"/>
    <s v="Robert Clark"/>
    <s v="36415"/>
    <x v="68"/>
    <n v="238"/>
    <n v="136"/>
    <n v="102"/>
    <x v="0"/>
    <x v="5"/>
  </r>
  <r>
    <s v="ACC000777"/>
    <s v="John Smith"/>
    <s v="80050"/>
    <x v="452"/>
    <n v="797"/>
    <n v="279"/>
    <n v="518"/>
    <x v="0"/>
    <x v="0"/>
  </r>
  <r>
    <s v="ACC000778"/>
    <s v="Robert Hall"/>
    <s v="71020"/>
    <x v="453"/>
    <n v="871"/>
    <n v="827"/>
    <n v="44"/>
    <x v="0"/>
    <x v="5"/>
  </r>
  <r>
    <s v="ACC000779"/>
    <s v="Charles Brown"/>
    <s v="36415"/>
    <x v="148"/>
    <n v="727"/>
    <n v="107"/>
    <n v="620"/>
    <x v="0"/>
    <x v="2"/>
  </r>
  <r>
    <s v="ACC000780"/>
    <s v="James Hall"/>
    <s v="99213"/>
    <x v="413"/>
    <n v="799"/>
    <n v="653"/>
    <n v="146"/>
    <x v="0"/>
    <x v="2"/>
  </r>
  <r>
    <s v="ACC000781"/>
    <s v="Robert Brown"/>
    <s v="99213"/>
    <x v="361"/>
    <n v="713"/>
    <n v="152"/>
    <n v="561"/>
    <x v="0"/>
    <x v="5"/>
  </r>
  <r>
    <s v="ACC000782"/>
    <s v="Robert Smith"/>
    <s v="80050"/>
    <x v="330"/>
    <n v="356"/>
    <n v="292"/>
    <n v="64"/>
    <x v="0"/>
    <x v="1"/>
  </r>
  <r>
    <s v="ACC000783"/>
    <s v="David Walker"/>
    <s v="36415"/>
    <x v="211"/>
    <n v="774"/>
    <n v="107"/>
    <n v="667"/>
    <x v="0"/>
    <x v="0"/>
  </r>
  <r>
    <s v="ACC000784"/>
    <s v="Michael Clark"/>
    <s v="99213"/>
    <x v="239"/>
    <n v="896"/>
    <n v="25"/>
    <n v="871"/>
    <x v="0"/>
    <x v="2"/>
  </r>
  <r>
    <s v="ACC000785"/>
    <s v="Joseph Anderson"/>
    <s v="36415"/>
    <x v="148"/>
    <n v="824"/>
    <n v="206"/>
    <n v="618"/>
    <x v="0"/>
    <x v="4"/>
  </r>
  <r>
    <s v="ACC000786"/>
    <s v="James Walker"/>
    <s v="99213"/>
    <x v="454"/>
    <n v="299"/>
    <n v="142"/>
    <n v="157"/>
    <x v="0"/>
    <x v="0"/>
  </r>
  <r>
    <s v="ACC000787"/>
    <s v="Daniel Lewis"/>
    <s v="93000"/>
    <x v="455"/>
    <n v="398"/>
    <n v="29"/>
    <n v="369"/>
    <x v="0"/>
    <x v="1"/>
  </r>
  <r>
    <s v="ACC000788"/>
    <s v="John Anderson"/>
    <s v="99214"/>
    <x v="456"/>
    <n v="343"/>
    <n v="297"/>
    <n v="46"/>
    <x v="0"/>
    <x v="4"/>
  </r>
  <r>
    <s v="ACC000789"/>
    <s v="Thomas Lewis"/>
    <s v="93000"/>
    <x v="62"/>
    <n v="566"/>
    <n v="46"/>
    <n v="520"/>
    <x v="0"/>
    <x v="0"/>
  </r>
  <r>
    <s v="ACC000790"/>
    <s v="James Johnson"/>
    <s v="71020"/>
    <x v="128"/>
    <n v="105"/>
    <n v="4"/>
    <n v="101"/>
    <x v="0"/>
    <x v="3"/>
  </r>
  <r>
    <s v="ACC000791"/>
    <s v="Michael Taylor"/>
    <s v="71020"/>
    <x v="33"/>
    <n v="549"/>
    <n v="488"/>
    <n v="61"/>
    <x v="0"/>
    <x v="3"/>
  </r>
  <r>
    <s v="ACC000792"/>
    <s v="William Johnson"/>
    <s v="71020"/>
    <x v="304"/>
    <n v="995"/>
    <n v="801"/>
    <n v="194"/>
    <x v="0"/>
    <x v="2"/>
  </r>
  <r>
    <s v="ACC000793"/>
    <s v="Robert Smith"/>
    <s v="80050"/>
    <x v="403"/>
    <n v="459"/>
    <n v="389"/>
    <n v="70"/>
    <x v="0"/>
    <x v="2"/>
  </r>
  <r>
    <s v="ACC000794"/>
    <s v="Charles Lewis"/>
    <s v="99213"/>
    <x v="289"/>
    <n v="966"/>
    <n v="110"/>
    <n v="856"/>
    <x v="0"/>
    <x v="1"/>
  </r>
  <r>
    <s v="ACC000795"/>
    <s v="Joseph Harris"/>
    <s v="99214"/>
    <x v="457"/>
    <n v="209"/>
    <n v="198"/>
    <n v="11"/>
    <x v="0"/>
    <x v="3"/>
  </r>
  <r>
    <s v="ACC000796"/>
    <s v="Charles Smith"/>
    <s v="71020"/>
    <x v="111"/>
    <n v="106"/>
    <n v="87"/>
    <n v="19"/>
    <x v="0"/>
    <x v="0"/>
  </r>
  <r>
    <s v="ACC000797"/>
    <s v="Michael Clark"/>
    <s v="80050"/>
    <x v="387"/>
    <n v="898"/>
    <n v="838"/>
    <n v="60"/>
    <x v="0"/>
    <x v="4"/>
  </r>
  <r>
    <s v="ACC000798"/>
    <s v="Daniel Johnson"/>
    <s v="93000"/>
    <x v="21"/>
    <n v="754"/>
    <n v="422"/>
    <n v="332"/>
    <x v="0"/>
    <x v="5"/>
  </r>
  <r>
    <s v="ACC000799"/>
    <s v="William Smith"/>
    <s v="36415"/>
    <x v="458"/>
    <n v="529"/>
    <n v="476"/>
    <n v="53"/>
    <x v="0"/>
    <x v="1"/>
  </r>
  <r>
    <s v="ACC000800"/>
    <s v="John Brown"/>
    <s v="80050"/>
    <x v="350"/>
    <n v="975"/>
    <n v="459"/>
    <n v="516"/>
    <x v="0"/>
    <x v="5"/>
  </r>
  <r>
    <s v="ACC000801"/>
    <s v="John Anderson"/>
    <s v="93000"/>
    <x v="40"/>
    <n v="542"/>
    <n v="441"/>
    <n v="101"/>
    <x v="0"/>
    <x v="4"/>
  </r>
  <r>
    <s v="ACC000802"/>
    <s v="William Harris"/>
    <s v="71020"/>
    <x v="420"/>
    <n v="659"/>
    <n v="302"/>
    <n v="357"/>
    <x v="0"/>
    <x v="0"/>
  </r>
  <r>
    <s v="ACC000803"/>
    <s v="Joseph Smith"/>
    <s v="71020"/>
    <x v="330"/>
    <n v="802"/>
    <n v="163"/>
    <n v="639"/>
    <x v="0"/>
    <x v="3"/>
  </r>
  <r>
    <s v="ACC000804"/>
    <s v="James Brown"/>
    <s v="36415"/>
    <x v="346"/>
    <n v="856"/>
    <n v="733"/>
    <n v="123"/>
    <x v="0"/>
    <x v="5"/>
  </r>
  <r>
    <s v="ACC000805"/>
    <s v="Joseph Harris"/>
    <s v="93000"/>
    <x v="155"/>
    <n v="265"/>
    <n v="90"/>
    <n v="175"/>
    <x v="0"/>
    <x v="0"/>
  </r>
  <r>
    <s v="ACC000806"/>
    <s v="Robert Clark"/>
    <s v="99213"/>
    <x v="158"/>
    <n v="662"/>
    <n v="348"/>
    <n v="314"/>
    <x v="0"/>
    <x v="1"/>
  </r>
  <r>
    <s v="ACC000807"/>
    <s v="David Lewis"/>
    <s v="80050"/>
    <x v="202"/>
    <n v="436"/>
    <n v="392"/>
    <n v="44"/>
    <x v="0"/>
    <x v="3"/>
  </r>
  <r>
    <s v="ACC000808"/>
    <s v="William Lewis"/>
    <s v="93000"/>
    <x v="49"/>
    <n v="990"/>
    <n v="410"/>
    <n v="580"/>
    <x v="0"/>
    <x v="5"/>
  </r>
  <r>
    <s v="ACC000809"/>
    <s v="David Harris"/>
    <s v="93000"/>
    <x v="279"/>
    <n v="871"/>
    <n v="598"/>
    <n v="273"/>
    <x v="0"/>
    <x v="1"/>
  </r>
  <r>
    <s v="ACC000810"/>
    <s v="Michael Brown"/>
    <s v="93000"/>
    <x v="116"/>
    <n v="234"/>
    <n v="197"/>
    <n v="37"/>
    <x v="0"/>
    <x v="0"/>
  </r>
  <r>
    <s v="ACC000811"/>
    <s v="David Taylor"/>
    <s v="80050"/>
    <x v="15"/>
    <n v="871"/>
    <n v="716"/>
    <n v="155"/>
    <x v="0"/>
    <x v="4"/>
  </r>
  <r>
    <s v="ACC000812"/>
    <s v="Michael Harris"/>
    <s v="80050"/>
    <x v="342"/>
    <n v="486"/>
    <n v="41"/>
    <n v="445"/>
    <x v="0"/>
    <x v="0"/>
  </r>
  <r>
    <s v="ACC000813"/>
    <s v="Robert Lewis"/>
    <s v="71020"/>
    <x v="446"/>
    <n v="291"/>
    <n v="35"/>
    <n v="256"/>
    <x v="0"/>
    <x v="5"/>
  </r>
  <r>
    <s v="ACC000814"/>
    <s v="John Clark"/>
    <s v="93000"/>
    <x v="324"/>
    <n v="908"/>
    <n v="311"/>
    <n v="597"/>
    <x v="0"/>
    <x v="4"/>
  </r>
  <r>
    <s v="ACC000815"/>
    <s v="John Harris"/>
    <s v="71020"/>
    <x v="87"/>
    <n v="341"/>
    <n v="121"/>
    <n v="220"/>
    <x v="0"/>
    <x v="2"/>
  </r>
  <r>
    <s v="ACC000816"/>
    <s v="Michael Lewis"/>
    <s v="99214"/>
    <x v="417"/>
    <n v="492"/>
    <n v="335"/>
    <n v="157"/>
    <x v="0"/>
    <x v="0"/>
  </r>
  <r>
    <s v="ACC000817"/>
    <s v="Joseph Clark"/>
    <s v="99214"/>
    <x v="323"/>
    <n v="517"/>
    <n v="134"/>
    <n v="383"/>
    <x v="0"/>
    <x v="0"/>
  </r>
  <r>
    <s v="ACC000818"/>
    <s v="Charles Taylor"/>
    <s v="99213"/>
    <x v="258"/>
    <n v="855"/>
    <n v="597"/>
    <n v="258"/>
    <x v="0"/>
    <x v="4"/>
  </r>
  <r>
    <s v="ACC000819"/>
    <s v="Daniel Johnson"/>
    <s v="36415"/>
    <x v="303"/>
    <n v="678"/>
    <n v="471"/>
    <n v="207"/>
    <x v="0"/>
    <x v="0"/>
  </r>
  <r>
    <s v="ACC000820"/>
    <s v="Joseph Johnson"/>
    <s v="93000"/>
    <x v="405"/>
    <n v="188"/>
    <n v="141"/>
    <n v="47"/>
    <x v="0"/>
    <x v="1"/>
  </r>
  <r>
    <s v="ACC000821"/>
    <s v="David Anderson"/>
    <s v="80050"/>
    <x v="459"/>
    <n v="213"/>
    <n v="60"/>
    <n v="153"/>
    <x v="0"/>
    <x v="5"/>
  </r>
  <r>
    <s v="ACC000822"/>
    <s v="William Taylor"/>
    <s v="36415"/>
    <x v="289"/>
    <n v="435"/>
    <n v="388"/>
    <n v="47"/>
    <x v="0"/>
    <x v="4"/>
  </r>
  <r>
    <s v="ACC000823"/>
    <s v="Thomas Johnson"/>
    <s v="99214"/>
    <x v="169"/>
    <n v="865"/>
    <n v="496"/>
    <n v="369"/>
    <x v="0"/>
    <x v="1"/>
  </r>
  <r>
    <s v="ACC000824"/>
    <s v="Robert Hall"/>
    <s v="99213"/>
    <x v="174"/>
    <n v="580"/>
    <n v="507"/>
    <n v="73"/>
    <x v="0"/>
    <x v="1"/>
  </r>
  <r>
    <s v="ACC000825"/>
    <s v="Joseph Taylor"/>
    <s v="93000"/>
    <x v="357"/>
    <n v="813"/>
    <n v="417"/>
    <n v="396"/>
    <x v="0"/>
    <x v="0"/>
  </r>
  <r>
    <s v="ACC000826"/>
    <s v="Charles Brown"/>
    <s v="71020"/>
    <x v="341"/>
    <n v="225"/>
    <n v="53"/>
    <n v="172"/>
    <x v="0"/>
    <x v="3"/>
  </r>
  <r>
    <s v="ACC000827"/>
    <s v="John Smith"/>
    <s v="80050"/>
    <x v="288"/>
    <n v="817"/>
    <n v="146"/>
    <n v="671"/>
    <x v="0"/>
    <x v="4"/>
  </r>
  <r>
    <s v="ACC000828"/>
    <s v="Joseph Hall"/>
    <s v="99213"/>
    <x v="302"/>
    <n v="960"/>
    <n v="674"/>
    <n v="286"/>
    <x v="0"/>
    <x v="2"/>
  </r>
  <r>
    <s v="ACC000829"/>
    <s v="Daniel Lewis"/>
    <s v="71020"/>
    <x v="350"/>
    <n v="766"/>
    <n v="394"/>
    <n v="372"/>
    <x v="0"/>
    <x v="3"/>
  </r>
  <r>
    <s v="ACC000830"/>
    <s v="William Lewis"/>
    <s v="99213"/>
    <x v="460"/>
    <n v="868"/>
    <n v="477"/>
    <n v="391"/>
    <x v="0"/>
    <x v="2"/>
  </r>
  <r>
    <s v="ACC000831"/>
    <s v="Joseph Lewis"/>
    <s v="99213"/>
    <x v="461"/>
    <n v="334"/>
    <n v="171"/>
    <n v="163"/>
    <x v="0"/>
    <x v="0"/>
  </r>
  <r>
    <s v="ACC000832"/>
    <s v="Robert Taylor"/>
    <s v="99214"/>
    <x v="234"/>
    <n v="152"/>
    <n v="56"/>
    <n v="96"/>
    <x v="0"/>
    <x v="5"/>
  </r>
  <r>
    <s v="ACC000833"/>
    <s v="Daniel Walker"/>
    <s v="36415"/>
    <x v="410"/>
    <n v="476"/>
    <n v="29"/>
    <n v="447"/>
    <x v="0"/>
    <x v="3"/>
  </r>
  <r>
    <s v="ACC000834"/>
    <s v="James Clark"/>
    <s v="80050"/>
    <x v="462"/>
    <n v="292"/>
    <n v="68"/>
    <n v="224"/>
    <x v="0"/>
    <x v="3"/>
  </r>
  <r>
    <s v="ACC000835"/>
    <s v="Michael Harris"/>
    <s v="99213"/>
    <x v="449"/>
    <n v="299"/>
    <n v="217"/>
    <n v="82"/>
    <x v="0"/>
    <x v="0"/>
  </r>
  <r>
    <s v="ACC000836"/>
    <s v="William Clark"/>
    <s v="80050"/>
    <x v="257"/>
    <n v="912"/>
    <n v="433"/>
    <n v="479"/>
    <x v="0"/>
    <x v="4"/>
  </r>
  <r>
    <s v="ACC000837"/>
    <s v="Daniel Anderson"/>
    <s v="71020"/>
    <x v="133"/>
    <n v="442"/>
    <n v="430"/>
    <n v="12"/>
    <x v="0"/>
    <x v="5"/>
  </r>
  <r>
    <s v="ACC000838"/>
    <s v="Michael Clark"/>
    <s v="99214"/>
    <x v="13"/>
    <n v="696"/>
    <n v="624"/>
    <n v="72"/>
    <x v="0"/>
    <x v="4"/>
  </r>
  <r>
    <s v="ACC000839"/>
    <s v="Robert Walker"/>
    <s v="99213"/>
    <x v="463"/>
    <n v="821"/>
    <n v="601"/>
    <n v="220"/>
    <x v="0"/>
    <x v="5"/>
  </r>
  <r>
    <s v="ACC000840"/>
    <s v="John Taylor"/>
    <s v="36415"/>
    <x v="323"/>
    <n v="332"/>
    <n v="7"/>
    <n v="325"/>
    <x v="0"/>
    <x v="0"/>
  </r>
  <r>
    <s v="ACC000841"/>
    <s v="Joseph Walker"/>
    <s v="99213"/>
    <x v="464"/>
    <n v="356"/>
    <n v="91"/>
    <n v="265"/>
    <x v="0"/>
    <x v="5"/>
  </r>
  <r>
    <s v="ACC000842"/>
    <s v="Daniel Anderson"/>
    <s v="99213"/>
    <x v="236"/>
    <n v="185"/>
    <n v="11"/>
    <n v="174"/>
    <x v="0"/>
    <x v="3"/>
  </r>
  <r>
    <s v="ACC000843"/>
    <s v="Robert Smith"/>
    <s v="36415"/>
    <x v="189"/>
    <n v="852"/>
    <n v="437"/>
    <n v="415"/>
    <x v="0"/>
    <x v="4"/>
  </r>
  <r>
    <s v="ACC000844"/>
    <s v="Robert Smith"/>
    <s v="71020"/>
    <x v="366"/>
    <n v="741"/>
    <n v="492"/>
    <n v="249"/>
    <x v="0"/>
    <x v="5"/>
  </r>
  <r>
    <s v="ACC000845"/>
    <s v="Robert Johnson"/>
    <s v="71020"/>
    <x v="226"/>
    <n v="972"/>
    <n v="867"/>
    <n v="105"/>
    <x v="0"/>
    <x v="1"/>
  </r>
  <r>
    <s v="ACC000846"/>
    <s v="Robert Taylor"/>
    <s v="36415"/>
    <x v="22"/>
    <n v="351"/>
    <n v="107"/>
    <n v="244"/>
    <x v="0"/>
    <x v="5"/>
  </r>
  <r>
    <s v="ACC000847"/>
    <s v="Thomas Walker"/>
    <s v="36415"/>
    <x v="76"/>
    <n v="254"/>
    <n v="162"/>
    <n v="92"/>
    <x v="0"/>
    <x v="2"/>
  </r>
  <r>
    <s v="ACC000848"/>
    <s v="John Smith"/>
    <s v="71020"/>
    <x v="428"/>
    <n v="580"/>
    <n v="461"/>
    <n v="119"/>
    <x v="0"/>
    <x v="1"/>
  </r>
  <r>
    <s v="ACC000849"/>
    <s v="Thomas Brown"/>
    <s v="99214"/>
    <x v="465"/>
    <n v="779"/>
    <n v="461"/>
    <n v="318"/>
    <x v="0"/>
    <x v="1"/>
  </r>
  <r>
    <s v="ACC000850"/>
    <s v="Daniel Lewis"/>
    <s v="93000"/>
    <x v="258"/>
    <n v="117"/>
    <n v="8"/>
    <n v="109"/>
    <x v="0"/>
    <x v="1"/>
  </r>
  <r>
    <s v="ACC000851"/>
    <s v="Michael Brown"/>
    <s v="93000"/>
    <x v="216"/>
    <n v="425"/>
    <n v="313"/>
    <n v="112"/>
    <x v="0"/>
    <x v="0"/>
  </r>
  <r>
    <s v="ACC000852"/>
    <s v="David Harris"/>
    <s v="36415"/>
    <x v="299"/>
    <n v="217"/>
    <n v="163"/>
    <n v="54"/>
    <x v="0"/>
    <x v="2"/>
  </r>
  <r>
    <s v="ACC000853"/>
    <s v="Michael Brown"/>
    <s v="93000"/>
    <x v="466"/>
    <n v="323"/>
    <n v="13"/>
    <n v="310"/>
    <x v="0"/>
    <x v="0"/>
  </r>
  <r>
    <s v="ACC000854"/>
    <s v="Michael Smith"/>
    <s v="71020"/>
    <x v="5"/>
    <n v="521"/>
    <n v="377"/>
    <n v="144"/>
    <x v="0"/>
    <x v="0"/>
  </r>
  <r>
    <s v="ACC000855"/>
    <s v="Daniel Lewis"/>
    <s v="99213"/>
    <x v="69"/>
    <n v="465"/>
    <n v="242"/>
    <n v="223"/>
    <x v="0"/>
    <x v="3"/>
  </r>
  <r>
    <s v="ACC000856"/>
    <s v="Michael Smith"/>
    <s v="71020"/>
    <x v="281"/>
    <n v="974"/>
    <n v="945"/>
    <n v="29"/>
    <x v="0"/>
    <x v="1"/>
  </r>
  <r>
    <s v="ACC000857"/>
    <s v="John Harris"/>
    <s v="71020"/>
    <x v="158"/>
    <n v="468"/>
    <n v="332"/>
    <n v="136"/>
    <x v="0"/>
    <x v="2"/>
  </r>
  <r>
    <s v="ACC000858"/>
    <s v="Robert Taylor"/>
    <s v="99214"/>
    <x v="132"/>
    <n v="379"/>
    <n v="228"/>
    <n v="151"/>
    <x v="0"/>
    <x v="4"/>
  </r>
  <r>
    <s v="ACC000859"/>
    <s v="John Clark"/>
    <s v="71020"/>
    <x v="467"/>
    <n v="363"/>
    <n v="132"/>
    <n v="231"/>
    <x v="0"/>
    <x v="4"/>
  </r>
  <r>
    <s v="ACC000860"/>
    <s v="Daniel Hall"/>
    <s v="80050"/>
    <x v="24"/>
    <n v="819"/>
    <n v="686"/>
    <n v="133"/>
    <x v="0"/>
    <x v="0"/>
  </r>
  <r>
    <s v="ACC000861"/>
    <s v="Thomas Lewis"/>
    <s v="71020"/>
    <x v="351"/>
    <n v="306"/>
    <n v="92"/>
    <n v="214"/>
    <x v="0"/>
    <x v="3"/>
  </r>
  <r>
    <s v="ACC000862"/>
    <s v="David Harris"/>
    <s v="36415"/>
    <x v="231"/>
    <n v="227"/>
    <n v="81"/>
    <n v="146"/>
    <x v="0"/>
    <x v="0"/>
  </r>
  <r>
    <s v="ACC000863"/>
    <s v="James Hall"/>
    <s v="99213"/>
    <x v="468"/>
    <n v="367"/>
    <n v="166"/>
    <n v="201"/>
    <x v="0"/>
    <x v="4"/>
  </r>
  <r>
    <s v="ACC000864"/>
    <s v="James Hall"/>
    <s v="99213"/>
    <x v="368"/>
    <n v="327"/>
    <n v="61"/>
    <n v="266"/>
    <x v="0"/>
    <x v="3"/>
  </r>
  <r>
    <s v="ACC000865"/>
    <s v="David Lewis"/>
    <s v="99213"/>
    <x v="469"/>
    <n v="614"/>
    <n v="165"/>
    <n v="449"/>
    <x v="0"/>
    <x v="3"/>
  </r>
  <r>
    <s v="ACC000866"/>
    <s v="Joseph Hall"/>
    <s v="93000"/>
    <x v="395"/>
    <n v="634"/>
    <n v="438"/>
    <n v="196"/>
    <x v="0"/>
    <x v="4"/>
  </r>
  <r>
    <s v="ACC000867"/>
    <s v="Joseph Brown"/>
    <s v="99214"/>
    <x v="53"/>
    <n v="906"/>
    <n v="717"/>
    <n v="189"/>
    <x v="0"/>
    <x v="2"/>
  </r>
  <r>
    <s v="ACC000868"/>
    <s v="Thomas Brown"/>
    <s v="99214"/>
    <x v="239"/>
    <n v="837"/>
    <n v="709"/>
    <n v="128"/>
    <x v="0"/>
    <x v="1"/>
  </r>
  <r>
    <s v="ACC000869"/>
    <s v="William Brown"/>
    <s v="99213"/>
    <x v="391"/>
    <n v="113"/>
    <n v="81"/>
    <n v="32"/>
    <x v="0"/>
    <x v="3"/>
  </r>
  <r>
    <s v="ACC000870"/>
    <s v="David Johnson"/>
    <s v="71020"/>
    <x v="53"/>
    <n v="876"/>
    <n v="422"/>
    <n v="454"/>
    <x v="0"/>
    <x v="0"/>
  </r>
  <r>
    <s v="ACC000871"/>
    <s v="Daniel Smith"/>
    <s v="99213"/>
    <x v="385"/>
    <n v="909"/>
    <n v="597"/>
    <n v="312"/>
    <x v="0"/>
    <x v="3"/>
  </r>
  <r>
    <s v="ACC000872"/>
    <s v="Daniel Harris"/>
    <s v="99214"/>
    <x v="43"/>
    <n v="985"/>
    <n v="500"/>
    <n v="485"/>
    <x v="0"/>
    <x v="1"/>
  </r>
  <r>
    <s v="ACC000873"/>
    <s v="David Johnson"/>
    <s v="93000"/>
    <x v="242"/>
    <n v="887"/>
    <n v="423"/>
    <n v="464"/>
    <x v="0"/>
    <x v="0"/>
  </r>
  <r>
    <s v="ACC000874"/>
    <s v="David Brown"/>
    <s v="71020"/>
    <x v="2"/>
    <n v="134"/>
    <n v="68"/>
    <n v="66"/>
    <x v="0"/>
    <x v="2"/>
  </r>
  <r>
    <s v="ACC000875"/>
    <s v="Michael Walker"/>
    <s v="99213"/>
    <x v="276"/>
    <n v="982"/>
    <n v="399"/>
    <n v="583"/>
    <x v="0"/>
    <x v="0"/>
  </r>
  <r>
    <s v="ACC000876"/>
    <s v="David Hall"/>
    <s v="36415"/>
    <x v="470"/>
    <n v="303"/>
    <n v="225"/>
    <n v="78"/>
    <x v="0"/>
    <x v="5"/>
  </r>
  <r>
    <s v="ACC000877"/>
    <s v="Charles Smith"/>
    <s v="93000"/>
    <x v="471"/>
    <n v="884"/>
    <n v="455"/>
    <n v="429"/>
    <x v="0"/>
    <x v="0"/>
  </r>
  <r>
    <s v="ACC000878"/>
    <s v="John Taylor"/>
    <s v="80050"/>
    <x v="472"/>
    <n v="595"/>
    <n v="438"/>
    <n v="157"/>
    <x v="0"/>
    <x v="3"/>
  </r>
  <r>
    <s v="ACC000879"/>
    <s v="Daniel Taylor"/>
    <s v="36415"/>
    <x v="473"/>
    <n v="562"/>
    <n v="212"/>
    <n v="350"/>
    <x v="0"/>
    <x v="5"/>
  </r>
  <r>
    <s v="ACC000880"/>
    <s v="Daniel Anderson"/>
    <s v="99214"/>
    <x v="99"/>
    <n v="466"/>
    <n v="82"/>
    <n v="384"/>
    <x v="0"/>
    <x v="0"/>
  </r>
  <r>
    <s v="ACC000881"/>
    <s v="Daniel Brown"/>
    <s v="36415"/>
    <x v="44"/>
    <n v="829"/>
    <n v="60"/>
    <n v="769"/>
    <x v="0"/>
    <x v="2"/>
  </r>
  <r>
    <s v="ACC000882"/>
    <s v="David Walker"/>
    <s v="99213"/>
    <x v="255"/>
    <n v="192"/>
    <n v="13"/>
    <n v="179"/>
    <x v="0"/>
    <x v="5"/>
  </r>
  <r>
    <s v="ACC000883"/>
    <s v="Thomas Brown"/>
    <s v="36415"/>
    <x v="173"/>
    <n v="521"/>
    <n v="53"/>
    <n v="468"/>
    <x v="0"/>
    <x v="3"/>
  </r>
  <r>
    <s v="ACC000884"/>
    <s v="David Harris"/>
    <s v="36415"/>
    <x v="474"/>
    <n v="239"/>
    <n v="53"/>
    <n v="186"/>
    <x v="0"/>
    <x v="5"/>
  </r>
  <r>
    <s v="ACC000885"/>
    <s v="Thomas Smith"/>
    <s v="99213"/>
    <x v="57"/>
    <n v="283"/>
    <n v="269"/>
    <n v="14"/>
    <x v="0"/>
    <x v="4"/>
  </r>
  <r>
    <s v="ACC000886"/>
    <s v="David Walker"/>
    <s v="99214"/>
    <x v="475"/>
    <n v="175"/>
    <n v="19"/>
    <n v="156"/>
    <x v="0"/>
    <x v="0"/>
  </r>
  <r>
    <s v="ACC000887"/>
    <s v="Daniel Johnson"/>
    <s v="93000"/>
    <x v="256"/>
    <n v="851"/>
    <n v="415"/>
    <n v="436"/>
    <x v="0"/>
    <x v="1"/>
  </r>
  <r>
    <s v="ACC000888"/>
    <s v="James Harris"/>
    <s v="99214"/>
    <x v="168"/>
    <n v="267"/>
    <n v="138"/>
    <n v="129"/>
    <x v="0"/>
    <x v="5"/>
  </r>
  <r>
    <s v="ACC000889"/>
    <s v="Michael Johnson"/>
    <s v="99214"/>
    <x v="412"/>
    <n v="323"/>
    <n v="6"/>
    <n v="317"/>
    <x v="0"/>
    <x v="5"/>
  </r>
  <r>
    <s v="ACC000890"/>
    <s v="William Taylor"/>
    <s v="80050"/>
    <x v="347"/>
    <n v="130"/>
    <n v="80"/>
    <n v="50"/>
    <x v="0"/>
    <x v="4"/>
  </r>
  <r>
    <s v="ACC000891"/>
    <s v="John Harris"/>
    <s v="80050"/>
    <x v="476"/>
    <n v="611"/>
    <n v="384"/>
    <n v="227"/>
    <x v="0"/>
    <x v="1"/>
  </r>
  <r>
    <s v="ACC000892"/>
    <s v="Daniel Johnson"/>
    <s v="36415"/>
    <x v="409"/>
    <n v="224"/>
    <n v="61"/>
    <n v="163"/>
    <x v="0"/>
    <x v="0"/>
  </r>
  <r>
    <s v="ACC000893"/>
    <s v="Thomas Lewis"/>
    <s v="93000"/>
    <x v="477"/>
    <n v="673"/>
    <n v="194"/>
    <n v="479"/>
    <x v="0"/>
    <x v="1"/>
  </r>
  <r>
    <s v="ACC000894"/>
    <s v="James Anderson"/>
    <s v="71020"/>
    <x v="92"/>
    <n v="821"/>
    <n v="52"/>
    <n v="769"/>
    <x v="0"/>
    <x v="1"/>
  </r>
  <r>
    <s v="ACC000895"/>
    <s v="William Clark"/>
    <s v="80050"/>
    <x v="374"/>
    <n v="745"/>
    <n v="122"/>
    <n v="623"/>
    <x v="0"/>
    <x v="5"/>
  </r>
  <r>
    <s v="ACC000896"/>
    <s v="John Johnson"/>
    <s v="71020"/>
    <x v="231"/>
    <n v="482"/>
    <n v="71"/>
    <n v="411"/>
    <x v="0"/>
    <x v="5"/>
  </r>
  <r>
    <s v="ACC000897"/>
    <s v="Michael Anderson"/>
    <s v="71020"/>
    <x v="368"/>
    <n v="715"/>
    <n v="170"/>
    <n v="545"/>
    <x v="0"/>
    <x v="1"/>
  </r>
  <r>
    <s v="ACC000898"/>
    <s v="James Clark"/>
    <s v="99214"/>
    <x v="173"/>
    <n v="738"/>
    <n v="685"/>
    <n v="53"/>
    <x v="0"/>
    <x v="3"/>
  </r>
  <r>
    <s v="ACC000899"/>
    <s v="William Smith"/>
    <s v="80050"/>
    <x v="478"/>
    <n v="561"/>
    <n v="95"/>
    <n v="466"/>
    <x v="0"/>
    <x v="1"/>
  </r>
  <r>
    <s v="ACC000900"/>
    <s v="James Lewis"/>
    <s v="99214"/>
    <x v="450"/>
    <n v="758"/>
    <n v="521"/>
    <n v="237"/>
    <x v="0"/>
    <x v="2"/>
  </r>
  <r>
    <s v="ACC000901"/>
    <s v="Robert Anderson"/>
    <s v="80050"/>
    <x v="0"/>
    <n v="326"/>
    <n v="168"/>
    <n v="158"/>
    <x v="0"/>
    <x v="0"/>
  </r>
  <r>
    <s v="ACC000902"/>
    <s v="John Lewis"/>
    <s v="99213"/>
    <x v="280"/>
    <n v="460"/>
    <n v="45"/>
    <n v="415"/>
    <x v="0"/>
    <x v="4"/>
  </r>
  <r>
    <s v="ACC000903"/>
    <s v="David Lewis"/>
    <s v="99213"/>
    <x v="144"/>
    <n v="610"/>
    <n v="287"/>
    <n v="323"/>
    <x v="0"/>
    <x v="3"/>
  </r>
  <r>
    <s v="ACC000904"/>
    <s v="Joseph Taylor"/>
    <s v="36415"/>
    <x v="137"/>
    <n v="810"/>
    <n v="4"/>
    <n v="806"/>
    <x v="0"/>
    <x v="4"/>
  </r>
  <r>
    <s v="ACC000905"/>
    <s v="Joseph Smith"/>
    <s v="93000"/>
    <x v="74"/>
    <n v="473"/>
    <n v="57"/>
    <n v="416"/>
    <x v="0"/>
    <x v="4"/>
  </r>
  <r>
    <s v="ACC000906"/>
    <s v="Michael Brown"/>
    <s v="36415"/>
    <x v="204"/>
    <n v="539"/>
    <n v="105"/>
    <n v="434"/>
    <x v="0"/>
    <x v="1"/>
  </r>
  <r>
    <s v="ACC000907"/>
    <s v="James Anderson"/>
    <s v="36415"/>
    <x v="273"/>
    <n v="961"/>
    <n v="869"/>
    <n v="92"/>
    <x v="0"/>
    <x v="2"/>
  </r>
  <r>
    <s v="ACC000908"/>
    <s v="James Johnson"/>
    <s v="93000"/>
    <x v="479"/>
    <n v="685"/>
    <n v="23"/>
    <n v="662"/>
    <x v="0"/>
    <x v="3"/>
  </r>
  <r>
    <s v="ACC000909"/>
    <s v="James Hall"/>
    <s v="93000"/>
    <x v="435"/>
    <n v="168"/>
    <n v="110"/>
    <n v="58"/>
    <x v="0"/>
    <x v="1"/>
  </r>
  <r>
    <s v="ACC000910"/>
    <s v="Thomas Clark"/>
    <s v="36415"/>
    <x v="474"/>
    <n v="100"/>
    <n v="25"/>
    <n v="75"/>
    <x v="0"/>
    <x v="5"/>
  </r>
  <r>
    <s v="ACC000911"/>
    <s v="David Lewis"/>
    <s v="80050"/>
    <x v="149"/>
    <n v="983"/>
    <n v="722"/>
    <n v="261"/>
    <x v="0"/>
    <x v="1"/>
  </r>
  <r>
    <s v="ACC000912"/>
    <s v="James Smith"/>
    <s v="71020"/>
    <x v="480"/>
    <n v="109"/>
    <n v="36"/>
    <n v="73"/>
    <x v="0"/>
    <x v="0"/>
  </r>
  <r>
    <s v="ACC000913"/>
    <s v="William Brown"/>
    <s v="93000"/>
    <x v="481"/>
    <n v="585"/>
    <n v="35"/>
    <n v="550"/>
    <x v="0"/>
    <x v="1"/>
  </r>
  <r>
    <s v="ACC000914"/>
    <s v="Robert Harris"/>
    <s v="93000"/>
    <x v="201"/>
    <n v="222"/>
    <n v="148"/>
    <n v="74"/>
    <x v="0"/>
    <x v="0"/>
  </r>
  <r>
    <s v="ACC000915"/>
    <s v="William Harris"/>
    <s v="36415"/>
    <x v="62"/>
    <n v="640"/>
    <n v="198"/>
    <n v="442"/>
    <x v="0"/>
    <x v="5"/>
  </r>
  <r>
    <s v="ACC000916"/>
    <s v="Charles Taylor"/>
    <s v="36415"/>
    <x v="296"/>
    <n v="990"/>
    <n v="616"/>
    <n v="374"/>
    <x v="0"/>
    <x v="5"/>
  </r>
  <r>
    <s v="ACC000917"/>
    <s v="Daniel Harris"/>
    <s v="80050"/>
    <x v="119"/>
    <n v="437"/>
    <n v="231"/>
    <n v="206"/>
    <x v="0"/>
    <x v="1"/>
  </r>
  <r>
    <s v="ACC000918"/>
    <s v="John Lewis"/>
    <s v="71020"/>
    <x v="125"/>
    <n v="643"/>
    <n v="523"/>
    <n v="120"/>
    <x v="0"/>
    <x v="0"/>
  </r>
  <r>
    <s v="ACC000919"/>
    <s v="Robert Walker"/>
    <s v="71020"/>
    <x v="73"/>
    <n v="636"/>
    <n v="310"/>
    <n v="326"/>
    <x v="0"/>
    <x v="0"/>
  </r>
  <r>
    <s v="ACC000920"/>
    <s v="James Harris"/>
    <s v="99214"/>
    <x v="194"/>
    <n v="925"/>
    <n v="798"/>
    <n v="127"/>
    <x v="0"/>
    <x v="1"/>
  </r>
  <r>
    <s v="ACC000921"/>
    <s v="Michael Clark"/>
    <s v="80050"/>
    <x v="482"/>
    <n v="995"/>
    <n v="562"/>
    <n v="433"/>
    <x v="0"/>
    <x v="2"/>
  </r>
  <r>
    <s v="ACC000922"/>
    <s v="Michael Taylor"/>
    <s v="71020"/>
    <x v="312"/>
    <n v="308"/>
    <n v="124"/>
    <n v="184"/>
    <x v="0"/>
    <x v="5"/>
  </r>
  <r>
    <s v="ACC000923"/>
    <s v="James Taylor"/>
    <s v="71020"/>
    <x v="319"/>
    <n v="579"/>
    <n v="246"/>
    <n v="333"/>
    <x v="0"/>
    <x v="4"/>
  </r>
  <r>
    <s v="ACC000924"/>
    <s v="William Clark"/>
    <s v="80050"/>
    <x v="346"/>
    <n v="116"/>
    <n v="77"/>
    <n v="39"/>
    <x v="0"/>
    <x v="4"/>
  </r>
  <r>
    <s v="ACC000925"/>
    <s v="Robert Harris"/>
    <s v="80050"/>
    <x v="460"/>
    <n v="327"/>
    <n v="172"/>
    <n v="155"/>
    <x v="0"/>
    <x v="2"/>
  </r>
  <r>
    <s v="ACC000926"/>
    <s v="Thomas Harris"/>
    <s v="93000"/>
    <x v="21"/>
    <n v="204"/>
    <n v="124"/>
    <n v="80"/>
    <x v="0"/>
    <x v="0"/>
  </r>
  <r>
    <s v="ACC000927"/>
    <s v="William Harris"/>
    <s v="36415"/>
    <x v="157"/>
    <n v="952"/>
    <n v="397"/>
    <n v="555"/>
    <x v="0"/>
    <x v="3"/>
  </r>
  <r>
    <s v="ACC000928"/>
    <s v="Michael Walker"/>
    <s v="71020"/>
    <x v="136"/>
    <n v="368"/>
    <n v="4"/>
    <n v="364"/>
    <x v="0"/>
    <x v="2"/>
  </r>
  <r>
    <s v="ACC000929"/>
    <s v="Michael Lewis"/>
    <s v="99213"/>
    <x v="483"/>
    <n v="161"/>
    <n v="76"/>
    <n v="85"/>
    <x v="0"/>
    <x v="0"/>
  </r>
  <r>
    <s v="ACC000930"/>
    <s v="Joseph Walker"/>
    <s v="99213"/>
    <x v="481"/>
    <n v="499"/>
    <n v="370"/>
    <n v="129"/>
    <x v="0"/>
    <x v="0"/>
  </r>
  <r>
    <s v="ACC000931"/>
    <s v="Daniel Smith"/>
    <s v="80050"/>
    <x v="103"/>
    <n v="997"/>
    <n v="3"/>
    <n v="994"/>
    <x v="0"/>
    <x v="3"/>
  </r>
  <r>
    <s v="ACC000932"/>
    <s v="Charles Walker"/>
    <s v="99214"/>
    <x v="267"/>
    <n v="390"/>
    <n v="169"/>
    <n v="221"/>
    <x v="0"/>
    <x v="1"/>
  </r>
  <r>
    <s v="ACC000933"/>
    <s v="William Hall"/>
    <s v="80050"/>
    <x v="296"/>
    <n v="511"/>
    <n v="215"/>
    <n v="296"/>
    <x v="0"/>
    <x v="3"/>
  </r>
  <r>
    <s v="ACC000934"/>
    <s v="Daniel Clark"/>
    <s v="93000"/>
    <x v="243"/>
    <n v="679"/>
    <n v="654"/>
    <n v="25"/>
    <x v="0"/>
    <x v="0"/>
  </r>
  <r>
    <s v="ACC000935"/>
    <s v="James Lewis"/>
    <s v="36415"/>
    <x v="445"/>
    <n v="412"/>
    <n v="9"/>
    <n v="403"/>
    <x v="0"/>
    <x v="0"/>
  </r>
  <r>
    <s v="ACC000936"/>
    <s v="Charles Anderson"/>
    <s v="80050"/>
    <x v="58"/>
    <n v="345"/>
    <n v="2"/>
    <n v="343"/>
    <x v="0"/>
    <x v="4"/>
  </r>
  <r>
    <s v="ACC000937"/>
    <s v="Michael Harris"/>
    <s v="71020"/>
    <x v="484"/>
    <n v="266"/>
    <n v="190"/>
    <n v="76"/>
    <x v="0"/>
    <x v="2"/>
  </r>
  <r>
    <s v="ACC000938"/>
    <s v="William Clark"/>
    <s v="71020"/>
    <x v="457"/>
    <n v="514"/>
    <n v="200"/>
    <n v="314"/>
    <x v="0"/>
    <x v="2"/>
  </r>
  <r>
    <s v="ACC000939"/>
    <s v="Robert Johnson"/>
    <s v="99213"/>
    <x v="485"/>
    <n v="369"/>
    <n v="304"/>
    <n v="65"/>
    <x v="0"/>
    <x v="5"/>
  </r>
  <r>
    <s v="ACC000940"/>
    <s v="Robert Walker"/>
    <s v="93000"/>
    <x v="486"/>
    <n v="427"/>
    <n v="122"/>
    <n v="305"/>
    <x v="0"/>
    <x v="4"/>
  </r>
  <r>
    <s v="ACC000941"/>
    <s v="Michael Smith"/>
    <s v="71020"/>
    <x v="487"/>
    <n v="472"/>
    <n v="442"/>
    <n v="30"/>
    <x v="0"/>
    <x v="3"/>
  </r>
  <r>
    <s v="ACC000942"/>
    <s v="Robert Harris"/>
    <s v="93000"/>
    <x v="85"/>
    <n v="496"/>
    <n v="374"/>
    <n v="122"/>
    <x v="0"/>
    <x v="5"/>
  </r>
  <r>
    <s v="ACC000943"/>
    <s v="William Smith"/>
    <s v="36415"/>
    <x v="473"/>
    <n v="509"/>
    <n v="78"/>
    <n v="431"/>
    <x v="0"/>
    <x v="0"/>
  </r>
  <r>
    <s v="ACC000944"/>
    <s v="James Taylor"/>
    <s v="71020"/>
    <x v="335"/>
    <n v="947"/>
    <n v="751"/>
    <n v="196"/>
    <x v="0"/>
    <x v="5"/>
  </r>
  <r>
    <s v="ACC000945"/>
    <s v="Joseph Clark"/>
    <s v="99213"/>
    <x v="278"/>
    <n v="233"/>
    <n v="39"/>
    <n v="194"/>
    <x v="0"/>
    <x v="5"/>
  </r>
  <r>
    <s v="ACC000946"/>
    <s v="Robert Brown"/>
    <s v="80050"/>
    <x v="167"/>
    <n v="406"/>
    <n v="7"/>
    <n v="399"/>
    <x v="0"/>
    <x v="1"/>
  </r>
  <r>
    <s v="ACC000947"/>
    <s v="Michael Lewis"/>
    <s v="36415"/>
    <x v="143"/>
    <n v="487"/>
    <n v="339"/>
    <n v="148"/>
    <x v="0"/>
    <x v="3"/>
  </r>
  <r>
    <s v="ACC000948"/>
    <s v="David Walker"/>
    <s v="36415"/>
    <x v="298"/>
    <n v="111"/>
    <n v="65"/>
    <n v="46"/>
    <x v="0"/>
    <x v="2"/>
  </r>
  <r>
    <s v="ACC000949"/>
    <s v="James Lewis"/>
    <s v="93000"/>
    <x v="351"/>
    <n v="651"/>
    <n v="494"/>
    <n v="157"/>
    <x v="0"/>
    <x v="0"/>
  </r>
  <r>
    <s v="ACC000950"/>
    <s v="John Taylor"/>
    <s v="71020"/>
    <x v="88"/>
    <n v="754"/>
    <n v="499"/>
    <n v="255"/>
    <x v="0"/>
    <x v="0"/>
  </r>
  <r>
    <s v="ACC000951"/>
    <s v="David Clark"/>
    <s v="99213"/>
    <x v="360"/>
    <n v="981"/>
    <n v="157"/>
    <n v="824"/>
    <x v="0"/>
    <x v="0"/>
  </r>
  <r>
    <s v="ACC000952"/>
    <s v="James Brown"/>
    <s v="71020"/>
    <x v="20"/>
    <n v="293"/>
    <n v="102"/>
    <n v="191"/>
    <x v="0"/>
    <x v="3"/>
  </r>
  <r>
    <s v="ACC000953"/>
    <s v="David Hall"/>
    <s v="71020"/>
    <x v="124"/>
    <n v="972"/>
    <n v="912"/>
    <n v="60"/>
    <x v="0"/>
    <x v="2"/>
  </r>
  <r>
    <s v="ACC000954"/>
    <s v="John Lewis"/>
    <s v="99213"/>
    <x v="335"/>
    <n v="305"/>
    <n v="203"/>
    <n v="102"/>
    <x v="0"/>
    <x v="2"/>
  </r>
  <r>
    <s v="ACC000955"/>
    <s v="Michael Walker"/>
    <s v="93000"/>
    <x v="435"/>
    <n v="713"/>
    <n v="486"/>
    <n v="227"/>
    <x v="0"/>
    <x v="4"/>
  </r>
  <r>
    <s v="ACC000956"/>
    <s v="John Walker"/>
    <s v="93000"/>
    <x v="461"/>
    <n v="353"/>
    <n v="217"/>
    <n v="136"/>
    <x v="0"/>
    <x v="5"/>
  </r>
  <r>
    <s v="ACC000957"/>
    <s v="James Smith"/>
    <s v="99214"/>
    <x v="270"/>
    <n v="297"/>
    <n v="208"/>
    <n v="89"/>
    <x v="0"/>
    <x v="3"/>
  </r>
  <r>
    <s v="ACC000958"/>
    <s v="Robert Lewis"/>
    <s v="71020"/>
    <x v="488"/>
    <n v="735"/>
    <n v="296"/>
    <n v="439"/>
    <x v="0"/>
    <x v="5"/>
  </r>
  <r>
    <s v="ACC000959"/>
    <s v="Daniel Taylor"/>
    <s v="36415"/>
    <x v="114"/>
    <n v="815"/>
    <n v="760"/>
    <n v="55"/>
    <x v="0"/>
    <x v="3"/>
  </r>
  <r>
    <s v="ACC000960"/>
    <s v="Robert Clark"/>
    <s v="99214"/>
    <x v="475"/>
    <n v="364"/>
    <n v="76"/>
    <n v="288"/>
    <x v="0"/>
    <x v="1"/>
  </r>
  <r>
    <s v="ACC000961"/>
    <s v="John Lewis"/>
    <s v="99214"/>
    <x v="105"/>
    <n v="127"/>
    <n v="60"/>
    <n v="67"/>
    <x v="0"/>
    <x v="5"/>
  </r>
  <r>
    <s v="ACC000962"/>
    <s v="Thomas Brown"/>
    <s v="80050"/>
    <x v="411"/>
    <n v="232"/>
    <n v="185"/>
    <n v="47"/>
    <x v="0"/>
    <x v="1"/>
  </r>
  <r>
    <s v="ACC000963"/>
    <s v="Robert Lewis"/>
    <s v="99213"/>
    <x v="26"/>
    <n v="802"/>
    <n v="468"/>
    <n v="334"/>
    <x v="0"/>
    <x v="2"/>
  </r>
  <r>
    <s v="ACC000964"/>
    <s v="David Lewis"/>
    <s v="99214"/>
    <x v="440"/>
    <n v="836"/>
    <n v="616"/>
    <n v="220"/>
    <x v="0"/>
    <x v="1"/>
  </r>
  <r>
    <s v="ACC000965"/>
    <s v="John Taylor"/>
    <s v="80050"/>
    <x v="483"/>
    <n v="485"/>
    <n v="404"/>
    <n v="81"/>
    <x v="0"/>
    <x v="1"/>
  </r>
  <r>
    <s v="ACC000966"/>
    <s v="John Hall"/>
    <s v="71020"/>
    <x v="441"/>
    <n v="131"/>
    <n v="44"/>
    <n v="87"/>
    <x v="0"/>
    <x v="3"/>
  </r>
  <r>
    <s v="ACC000967"/>
    <s v="William Walker"/>
    <s v="71020"/>
    <x v="417"/>
    <n v="258"/>
    <n v="45"/>
    <n v="213"/>
    <x v="0"/>
    <x v="2"/>
  </r>
  <r>
    <s v="ACC000968"/>
    <s v="Michael Anderson"/>
    <s v="36415"/>
    <x v="28"/>
    <n v="536"/>
    <n v="200"/>
    <n v="336"/>
    <x v="0"/>
    <x v="0"/>
  </r>
  <r>
    <s v="ACC000969"/>
    <s v="Thomas Hall"/>
    <s v="36415"/>
    <x v="251"/>
    <n v="499"/>
    <n v="400"/>
    <n v="99"/>
    <x v="0"/>
    <x v="4"/>
  </r>
  <r>
    <s v="ACC000970"/>
    <s v="Joseph Clark"/>
    <s v="99213"/>
    <x v="358"/>
    <n v="781"/>
    <n v="72"/>
    <n v="709"/>
    <x v="0"/>
    <x v="1"/>
  </r>
  <r>
    <s v="ACC000971"/>
    <s v="Thomas Walker"/>
    <s v="80050"/>
    <x v="75"/>
    <n v="711"/>
    <n v="537"/>
    <n v="174"/>
    <x v="0"/>
    <x v="1"/>
  </r>
  <r>
    <s v="ACC000972"/>
    <s v="Michael Lewis"/>
    <s v="93000"/>
    <x v="260"/>
    <n v="788"/>
    <n v="452"/>
    <n v="336"/>
    <x v="0"/>
    <x v="0"/>
  </r>
  <r>
    <s v="ACC000973"/>
    <s v="Daniel Lewis"/>
    <s v="99214"/>
    <x v="385"/>
    <n v="312"/>
    <n v="248"/>
    <n v="64"/>
    <x v="0"/>
    <x v="3"/>
  </r>
  <r>
    <s v="ACC000974"/>
    <s v="Joseph Brown"/>
    <s v="80050"/>
    <x v="85"/>
    <n v="468"/>
    <n v="93"/>
    <n v="375"/>
    <x v="0"/>
    <x v="2"/>
  </r>
  <r>
    <s v="ACC000975"/>
    <s v="Robert Walker"/>
    <s v="71020"/>
    <x v="110"/>
    <n v="544"/>
    <n v="34"/>
    <n v="510"/>
    <x v="0"/>
    <x v="4"/>
  </r>
  <r>
    <s v="ACC000976"/>
    <s v="James Harris"/>
    <s v="71020"/>
    <x v="420"/>
    <n v="863"/>
    <n v="208"/>
    <n v="655"/>
    <x v="0"/>
    <x v="3"/>
  </r>
  <r>
    <s v="ACC000977"/>
    <s v="Daniel Taylor"/>
    <s v="99214"/>
    <x v="467"/>
    <n v="629"/>
    <n v="212"/>
    <n v="417"/>
    <x v="0"/>
    <x v="3"/>
  </r>
  <r>
    <s v="ACC000978"/>
    <s v="Daniel Clark"/>
    <s v="99213"/>
    <x v="273"/>
    <n v="919"/>
    <n v="798"/>
    <n v="121"/>
    <x v="0"/>
    <x v="3"/>
  </r>
  <r>
    <s v="ACC000979"/>
    <s v="Thomas Hall"/>
    <s v="36415"/>
    <x v="175"/>
    <n v="926"/>
    <n v="568"/>
    <n v="358"/>
    <x v="0"/>
    <x v="3"/>
  </r>
  <r>
    <s v="ACC000980"/>
    <s v="James Hall"/>
    <s v="93000"/>
    <x v="54"/>
    <n v="311"/>
    <n v="0"/>
    <n v="311"/>
    <x v="0"/>
    <x v="2"/>
  </r>
  <r>
    <s v="ACC000981"/>
    <s v="James Anderson"/>
    <s v="99213"/>
    <x v="489"/>
    <n v="162"/>
    <n v="16"/>
    <n v="146"/>
    <x v="0"/>
    <x v="0"/>
  </r>
  <r>
    <s v="ACC000982"/>
    <s v="Michael Smith"/>
    <s v="99214"/>
    <x v="370"/>
    <n v="374"/>
    <n v="57"/>
    <n v="317"/>
    <x v="0"/>
    <x v="0"/>
  </r>
  <r>
    <s v="ACC000983"/>
    <s v="William Smith"/>
    <s v="80050"/>
    <x v="419"/>
    <n v="830"/>
    <n v="25"/>
    <n v="805"/>
    <x v="0"/>
    <x v="3"/>
  </r>
  <r>
    <s v="ACC000984"/>
    <s v="David Anderson"/>
    <s v="99213"/>
    <x v="192"/>
    <n v="423"/>
    <n v="67"/>
    <n v="356"/>
    <x v="0"/>
    <x v="1"/>
  </r>
  <r>
    <s v="ACC000985"/>
    <s v="Thomas Walker"/>
    <s v="99214"/>
    <x v="126"/>
    <n v="761"/>
    <n v="674"/>
    <n v="87"/>
    <x v="0"/>
    <x v="3"/>
  </r>
  <r>
    <s v="ACC000986"/>
    <s v="David Hall"/>
    <s v="36415"/>
    <x v="306"/>
    <n v="140"/>
    <n v="30"/>
    <n v="110"/>
    <x v="0"/>
    <x v="0"/>
  </r>
  <r>
    <s v="ACC000987"/>
    <s v="James Smith"/>
    <s v="36415"/>
    <x v="434"/>
    <n v="961"/>
    <n v="616"/>
    <n v="345"/>
    <x v="0"/>
    <x v="4"/>
  </r>
  <r>
    <s v="ACC000988"/>
    <s v="Robert Hall"/>
    <s v="93000"/>
    <x v="53"/>
    <n v="273"/>
    <n v="152"/>
    <n v="121"/>
    <x v="0"/>
    <x v="1"/>
  </r>
  <r>
    <s v="ACC000989"/>
    <s v="Joseph Clark"/>
    <s v="71020"/>
    <x v="408"/>
    <n v="443"/>
    <n v="58"/>
    <n v="385"/>
    <x v="0"/>
    <x v="0"/>
  </r>
  <r>
    <s v="ACC000990"/>
    <s v="Charles Clark"/>
    <s v="71020"/>
    <x v="384"/>
    <n v="824"/>
    <n v="715"/>
    <n v="109"/>
    <x v="0"/>
    <x v="5"/>
  </r>
  <r>
    <s v="ACC000991"/>
    <s v="Charles Lewis"/>
    <s v="99214"/>
    <x v="490"/>
    <n v="819"/>
    <n v="788"/>
    <n v="31"/>
    <x v="0"/>
    <x v="0"/>
  </r>
  <r>
    <s v="ACC000992"/>
    <s v="Michael Walker"/>
    <s v="80050"/>
    <x v="147"/>
    <n v="840"/>
    <n v="484"/>
    <n v="356"/>
    <x v="0"/>
    <x v="2"/>
  </r>
  <r>
    <s v="ACC000993"/>
    <s v="James Harris"/>
    <s v="99213"/>
    <x v="382"/>
    <n v="647"/>
    <n v="383"/>
    <n v="264"/>
    <x v="0"/>
    <x v="3"/>
  </r>
  <r>
    <s v="ACC000994"/>
    <s v="David Johnson"/>
    <s v="71020"/>
    <x v="312"/>
    <n v="645"/>
    <n v="294"/>
    <n v="351"/>
    <x v="0"/>
    <x v="2"/>
  </r>
  <r>
    <s v="ACC000995"/>
    <s v="Joseph Brown"/>
    <s v="93000"/>
    <x v="40"/>
    <n v="557"/>
    <n v="54"/>
    <n v="503"/>
    <x v="0"/>
    <x v="1"/>
  </r>
  <r>
    <s v="ACC000996"/>
    <s v="Charles Johnson"/>
    <s v="99214"/>
    <x v="265"/>
    <n v="591"/>
    <n v="104"/>
    <n v="487"/>
    <x v="0"/>
    <x v="0"/>
  </r>
  <r>
    <s v="ACC000997"/>
    <s v="William Walker"/>
    <s v="71020"/>
    <x v="223"/>
    <n v="539"/>
    <n v="353"/>
    <n v="186"/>
    <x v="0"/>
    <x v="0"/>
  </r>
  <r>
    <s v="ACC000998"/>
    <s v="James Walker"/>
    <s v="99213"/>
    <x v="59"/>
    <n v="463"/>
    <n v="354"/>
    <n v="109"/>
    <x v="0"/>
    <x v="0"/>
  </r>
  <r>
    <s v="ACC000999"/>
    <s v="Thomas Harris"/>
    <s v="93000"/>
    <x v="491"/>
    <n v="300"/>
    <n v="238"/>
    <n v="62"/>
    <x v="0"/>
    <x v="3"/>
  </r>
  <r>
    <s v="ACC001000"/>
    <s v="David Anderson"/>
    <s v="71020"/>
    <x v="6"/>
    <n v="284"/>
    <n v="208"/>
    <n v="76"/>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CE90E-9199-4869-8309-41A886A51732}"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17:B18" firstHeaderRow="0" firstDataRow="1" firstDataCol="0"/>
  <pivotFields count="11">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dataField="1" showAll="0"/>
    <pivotField dataField="1" showAll="0"/>
    <pivotField showAll="0">
      <items count="3">
        <item x="1"/>
        <item x="0"/>
        <item t="default"/>
      </items>
    </pivotField>
    <pivotField showAll="0">
      <items count="7">
        <item x="4"/>
        <item x="1"/>
        <item x="3"/>
        <item x="5"/>
        <item x="2"/>
        <item x="0"/>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2">
    <i>
      <x/>
    </i>
    <i i="1">
      <x v="1"/>
    </i>
  </colItems>
  <dataFields count="2">
    <dataField name="Sum of Adjustment Amount" fld="5" baseField="0" baseItem="0"/>
    <dataField name="Sum of Paid Amount" fld="6" baseField="0" baseItem="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pivotArea type="data" outline="0" fieldPosition="0">
        <references count="1">
          <reference field="4294967294" count="1" selected="0">
            <x v="1"/>
          </reference>
        </references>
      </pivotArea>
    </chartFormat>
    <chartFormat chart="2" format="2">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097FEE-E8C0-483C-8F17-89E107FABC9A}"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2:B9" firstHeaderRow="1" firstDataRow="1" firstDataCol="1"/>
  <pivotFields count="11">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dataField="1" showAll="0"/>
    <pivotField showAll="0">
      <items count="3">
        <item x="1"/>
        <item x="0"/>
        <item t="default"/>
      </items>
    </pivotField>
    <pivotField axis="axisRow" showAll="0">
      <items count="7">
        <item x="4"/>
        <item x="1"/>
        <item x="3"/>
        <item x="5"/>
        <item x="2"/>
        <item x="0"/>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7">
    <i>
      <x/>
    </i>
    <i>
      <x v="1"/>
    </i>
    <i>
      <x v="2"/>
    </i>
    <i>
      <x v="3"/>
    </i>
    <i>
      <x v="4"/>
    </i>
    <i>
      <x v="5"/>
    </i>
    <i t="grand">
      <x/>
    </i>
  </rowItems>
  <colItems count="1">
    <i/>
  </colItems>
  <dataFields count="1">
    <dataField name="Sum of Paid Amount" fld="6"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0"/>
          </reference>
        </references>
      </pivotArea>
    </chartFormat>
    <chartFormat chart="4" format="4">
      <pivotArea type="data" outline="0" fieldPosition="0">
        <references count="2">
          <reference field="4294967294" count="1" selected="0">
            <x v="0"/>
          </reference>
          <reference field="8" count="1" selected="0">
            <x v="1"/>
          </reference>
        </references>
      </pivotArea>
    </chartFormat>
    <chartFormat chart="4" format="5">
      <pivotArea type="data" outline="0" fieldPosition="0">
        <references count="2">
          <reference field="4294967294" count="1" selected="0">
            <x v="0"/>
          </reference>
          <reference field="8" count="1" selected="0">
            <x v="2"/>
          </reference>
        </references>
      </pivotArea>
    </chartFormat>
    <chartFormat chart="4" format="6">
      <pivotArea type="data" outline="0" fieldPosition="0">
        <references count="2">
          <reference field="4294967294" count="1" selected="0">
            <x v="0"/>
          </reference>
          <reference field="8" count="1" selected="0">
            <x v="3"/>
          </reference>
        </references>
      </pivotArea>
    </chartFormat>
    <chartFormat chart="4" format="7">
      <pivotArea type="data" outline="0" fieldPosition="0">
        <references count="2">
          <reference field="4294967294" count="1" selected="0">
            <x v="0"/>
          </reference>
          <reference field="8" count="1" selected="0">
            <x v="4"/>
          </reference>
        </references>
      </pivotArea>
    </chartFormat>
    <chartFormat chart="4" format="8">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C77F98-8F89-4352-A80E-1166452397F4}"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2:B15" firstHeaderRow="1" firstDataRow="1" firstDataCol="1"/>
  <pivotFields count="11">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dataField="1" showAll="0"/>
    <pivotField showAll="0">
      <items count="3">
        <item x="1"/>
        <item x="0"/>
        <item t="default"/>
      </items>
    </pivotField>
    <pivotField showAll="0">
      <items count="7">
        <item x="4"/>
        <item x="1"/>
        <item x="3"/>
        <item x="5"/>
        <item x="2"/>
        <item x="0"/>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0"/>
    <field x="9"/>
    <field x="3"/>
  </rowFields>
  <rowItems count="3">
    <i>
      <x v="1"/>
    </i>
    <i>
      <x v="2"/>
    </i>
    <i t="grand">
      <x/>
    </i>
  </rowItems>
  <colItems count="1">
    <i/>
  </colItems>
  <dataFields count="1">
    <dataField name="Sum of Paid Amount" fld="6"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321B90-3CC0-4BE3-95D8-1EDC9D96DF8A}" name="PivotTable1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20:B23" firstHeaderRow="1" firstDataRow="1" firstDataCol="1"/>
  <pivotFields count="11">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3">
        <item x="1"/>
        <item x="0"/>
        <item t="default"/>
      </items>
    </pivotField>
    <pivotField showAll="0">
      <items count="7">
        <item x="4"/>
        <item x="1"/>
        <item x="3"/>
        <item x="5"/>
        <item x="2"/>
        <item x="0"/>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3">
    <i>
      <x/>
    </i>
    <i>
      <x v="1"/>
    </i>
    <i t="grand">
      <x/>
    </i>
  </rowItems>
  <colItems count="1">
    <i/>
  </colItems>
  <dataFields count="1">
    <dataField name="Count of Account No" fld="0" subtotal="count"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nial_Status" xr10:uid="{641C6E88-03A9-41C4-A1D3-3A1CB5CDD130}" sourceName="Denial Status">
  <pivotTables>
    <pivotTable tabId="2" name="PivotTable11"/>
    <pivotTable tabId="2" name="PivotTable13"/>
    <pivotTable tabId="2" name="PivotTable14"/>
    <pivotTable tabId="2" name="PivotTable16"/>
  </pivotTables>
  <data>
    <tabular pivotCacheId="150179767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Name" xr10:uid="{72270D35-C412-4E7F-912E-8F48F0E7AC1F}" sourceName="Insurance Name">
  <pivotTables>
    <pivotTable tabId="2" name="PivotTable11"/>
    <pivotTable tabId="2" name="PivotTable13"/>
    <pivotTable tabId="2" name="PivotTable14"/>
    <pivotTable tabId="2" name="PivotTable16"/>
  </pivotTables>
  <data>
    <tabular pivotCacheId="1501797676">
      <items count="6">
        <i x="4" s="1"/>
        <i x="1" s="1"/>
        <i x="3"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nial Status" xr10:uid="{57E03C3D-9E2F-4AA2-A87B-F39A970797F1}" cache="Slicer_Denial_Status" caption="Denial Status" rowHeight="241300"/>
  <slicer name="Insurance Name" xr10:uid="{3245D0BF-6F1D-498E-8BF6-C8A1BC897E44}" cache="Slicer_Insurance_Name" caption="Insurance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nial Status 1" xr10:uid="{B406C662-91F1-405A-BAD0-6516D89B9660}" cache="Slicer_Denial_Status" caption="Denial Status" columnCount="2" style="SlicerStyleLight6" rowHeight="241300"/>
  <slicer name="Insurance Name 1" xr10:uid="{33E06983-F2E1-4249-B9D0-56C2B46D74D7}" cache="Slicer_Insurance_Name" caption="Insurance Name" columnCount="2"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7430C8-AA2F-44C8-A1FA-6D25AD7B937D}" name="Table1" displayName="Table1" ref="A1:I1001" totalsRowShown="0" headerRowDxfId="1">
  <autoFilter ref="A1:I1001" xr:uid="{FE7430C8-AA2F-44C8-A1FA-6D25AD7B937D}"/>
  <tableColumns count="9">
    <tableColumn id="1" xr3:uid="{243A30AD-225E-43F8-9BF8-745928B65BE2}" name="Account No"/>
    <tableColumn id="2" xr3:uid="{FB4765D1-8E4E-47DF-A339-185DED865449}" name="Patient Name"/>
    <tableColumn id="3" xr3:uid="{279C3296-EFD7-4F71-91D8-AE52A6B4DB16}" name="CPT Code"/>
    <tableColumn id="4" xr3:uid="{C793B26F-939C-4DF2-89A5-4253250F8656}" name="Date of Service" dataDxfId="0"/>
    <tableColumn id="5" xr3:uid="{9D5009E4-3F85-4771-819E-7F75768C632A}" name="Allowed Amount"/>
    <tableColumn id="6" xr3:uid="{BDB49512-7DCF-4C41-8AED-DE43B5DA69EA}" name="Adjustment Amount"/>
    <tableColumn id="7" xr3:uid="{3D1F54D0-E78E-47C9-83F1-DD7C3BD927E0}" name="Paid Amount"/>
    <tableColumn id="8" xr3:uid="{51CEB793-7442-4981-9846-D94C8BF44CE7}" name="Denial Status"/>
    <tableColumn id="9" xr3:uid="{675B3528-7B06-4523-9D8B-0A94D0F69728}" name="Insurance Nam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Service" xr10:uid="{D24E3F24-65CC-41CC-87D2-E95EEAA45520}" sourceName="Date of Service">
  <pivotTables>
    <pivotTable tabId="2" name="PivotTable11"/>
    <pivotTable tabId="2" name="PivotTable13"/>
    <pivotTable tabId="2" name="PivotTable14"/>
    <pivotTable tabId="2" name="PivotTable16"/>
  </pivotTables>
  <state minimalRefreshVersion="6" lastRefreshVersion="6" pivotCacheId="150179767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Service" xr10:uid="{34A86EF0-4964-49D1-89FA-981190486A50}" cache="NativeTimeline_Date_of_Service" caption="Date of Service" level="2" selectionLevel="2" scrollPosition="202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Service 1" xr10:uid="{A3DD8056-9AC1-4025-BA80-4FEA2CF112AE}" cache="NativeTimeline_Date_of_Service" caption="Date of Service" level="1" selectionLevel="1" scrollPosition="2023-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33587-F464-4DFE-868A-ED8A1789B5A9}">
  <dimension ref="A1:I1001"/>
  <sheetViews>
    <sheetView workbookViewId="0">
      <selection activeCell="E1" sqref="E1"/>
    </sheetView>
  </sheetViews>
  <sheetFormatPr defaultRowHeight="14.5" x14ac:dyDescent="0.35"/>
  <cols>
    <col min="1" max="1" width="12.453125" customWidth="1"/>
    <col min="2" max="2" width="16.08984375" bestFit="1" customWidth="1"/>
    <col min="3" max="3" width="10.7265625" customWidth="1"/>
    <col min="4" max="4" width="15.26953125" customWidth="1"/>
    <col min="5" max="5" width="16.81640625" customWidth="1"/>
    <col min="6" max="6" width="20" customWidth="1"/>
    <col min="7" max="7" width="13.7265625" customWidth="1"/>
    <col min="8" max="8" width="13.81640625" customWidth="1"/>
    <col min="9" max="9" width="16.36328125" customWidth="1"/>
    <col min="10" max="10" width="6" bestFit="1" customWidth="1"/>
    <col min="11" max="11" width="11.08984375" bestFit="1" customWidth="1"/>
    <col min="12" max="12" width="9.7265625" bestFit="1" customWidth="1"/>
  </cols>
  <sheetData>
    <row r="1" spans="1:9" x14ac:dyDescent="0.35">
      <c r="A1" s="2" t="s">
        <v>0</v>
      </c>
      <c r="B1" s="2" t="s">
        <v>1</v>
      </c>
      <c r="C1" s="2" t="s">
        <v>2</v>
      </c>
      <c r="D1" s="2" t="s">
        <v>8</v>
      </c>
      <c r="E1" s="2" t="s">
        <v>3</v>
      </c>
      <c r="F1" s="2" t="s">
        <v>4</v>
      </c>
      <c r="G1" s="2" t="s">
        <v>5</v>
      </c>
      <c r="H1" s="2" t="s">
        <v>6</v>
      </c>
      <c r="I1" s="2" t="s">
        <v>7</v>
      </c>
    </row>
    <row r="2" spans="1:9" x14ac:dyDescent="0.35">
      <c r="A2" t="s">
        <v>9</v>
      </c>
      <c r="B2" t="s">
        <v>10</v>
      </c>
      <c r="C2" t="s">
        <v>11</v>
      </c>
      <c r="D2" s="1">
        <v>44950</v>
      </c>
      <c r="E2">
        <v>639</v>
      </c>
      <c r="F2">
        <v>552</v>
      </c>
      <c r="G2">
        <v>87</v>
      </c>
      <c r="H2" t="s">
        <v>12</v>
      </c>
      <c r="I2" t="s">
        <v>13</v>
      </c>
    </row>
    <row r="3" spans="1:9" x14ac:dyDescent="0.35">
      <c r="A3" t="s">
        <v>14</v>
      </c>
      <c r="B3" t="s">
        <v>15</v>
      </c>
      <c r="C3" t="s">
        <v>16</v>
      </c>
      <c r="D3" s="1">
        <v>45134</v>
      </c>
      <c r="E3">
        <v>520</v>
      </c>
      <c r="F3">
        <v>329</v>
      </c>
      <c r="G3">
        <v>191</v>
      </c>
      <c r="H3" t="s">
        <v>12</v>
      </c>
      <c r="I3" t="s">
        <v>13</v>
      </c>
    </row>
    <row r="4" spans="1:9" x14ac:dyDescent="0.35">
      <c r="A4" t="s">
        <v>17</v>
      </c>
      <c r="B4" t="s">
        <v>18</v>
      </c>
      <c r="C4" t="s">
        <v>19</v>
      </c>
      <c r="D4" s="1">
        <v>45346</v>
      </c>
      <c r="E4">
        <v>921</v>
      </c>
      <c r="F4">
        <v>907</v>
      </c>
      <c r="G4">
        <v>14</v>
      </c>
      <c r="H4" t="s">
        <v>12</v>
      </c>
      <c r="I4" t="s">
        <v>20</v>
      </c>
    </row>
    <row r="5" spans="1:9" x14ac:dyDescent="0.35">
      <c r="A5" t="s">
        <v>21</v>
      </c>
      <c r="B5" t="s">
        <v>22</v>
      </c>
      <c r="C5" t="s">
        <v>23</v>
      </c>
      <c r="D5" s="1">
        <v>45363</v>
      </c>
      <c r="E5">
        <v>773</v>
      </c>
      <c r="F5">
        <v>136</v>
      </c>
      <c r="G5">
        <v>637</v>
      </c>
      <c r="H5" t="s">
        <v>12</v>
      </c>
      <c r="I5" t="s">
        <v>24</v>
      </c>
    </row>
    <row r="6" spans="1:9" x14ac:dyDescent="0.35">
      <c r="A6" t="s">
        <v>25</v>
      </c>
      <c r="B6" t="s">
        <v>26</v>
      </c>
      <c r="C6" t="s">
        <v>27</v>
      </c>
      <c r="D6" s="1">
        <v>45191</v>
      </c>
      <c r="E6">
        <v>181</v>
      </c>
      <c r="F6">
        <v>152</v>
      </c>
      <c r="G6">
        <v>29</v>
      </c>
      <c r="H6" t="s">
        <v>12</v>
      </c>
      <c r="I6" t="s">
        <v>28</v>
      </c>
    </row>
    <row r="7" spans="1:9" x14ac:dyDescent="0.35">
      <c r="A7" t="s">
        <v>29</v>
      </c>
      <c r="B7" t="s">
        <v>30</v>
      </c>
      <c r="C7" t="s">
        <v>31</v>
      </c>
      <c r="D7" s="1">
        <v>45162</v>
      </c>
      <c r="E7">
        <v>386</v>
      </c>
      <c r="F7">
        <v>116</v>
      </c>
      <c r="G7">
        <v>270</v>
      </c>
      <c r="H7" t="s">
        <v>12</v>
      </c>
      <c r="I7" t="s">
        <v>32</v>
      </c>
    </row>
    <row r="8" spans="1:9" x14ac:dyDescent="0.35">
      <c r="A8" t="s">
        <v>33</v>
      </c>
      <c r="B8" t="s">
        <v>34</v>
      </c>
      <c r="C8" t="s">
        <v>31</v>
      </c>
      <c r="D8" s="1">
        <v>44999</v>
      </c>
      <c r="E8">
        <v>215</v>
      </c>
      <c r="F8">
        <v>201</v>
      </c>
      <c r="G8">
        <v>14</v>
      </c>
      <c r="H8" t="s">
        <v>12</v>
      </c>
      <c r="I8" t="s">
        <v>13</v>
      </c>
    </row>
    <row r="9" spans="1:9" x14ac:dyDescent="0.35">
      <c r="A9" t="s">
        <v>35</v>
      </c>
      <c r="B9" t="s">
        <v>36</v>
      </c>
      <c r="C9" t="s">
        <v>23</v>
      </c>
      <c r="D9" s="1">
        <v>45188</v>
      </c>
      <c r="E9">
        <v>422</v>
      </c>
      <c r="F9">
        <v>131</v>
      </c>
      <c r="G9">
        <v>291</v>
      </c>
      <c r="H9" t="s">
        <v>12</v>
      </c>
      <c r="I9" t="s">
        <v>24</v>
      </c>
    </row>
    <row r="10" spans="1:9" x14ac:dyDescent="0.35">
      <c r="A10" t="s">
        <v>37</v>
      </c>
      <c r="B10" t="s">
        <v>38</v>
      </c>
      <c r="C10" t="s">
        <v>27</v>
      </c>
      <c r="D10" s="1">
        <v>45392</v>
      </c>
      <c r="E10">
        <v>295</v>
      </c>
      <c r="F10">
        <v>290</v>
      </c>
      <c r="G10">
        <v>5</v>
      </c>
      <c r="H10" t="s">
        <v>12</v>
      </c>
      <c r="I10" t="s">
        <v>28</v>
      </c>
    </row>
    <row r="11" spans="1:9" x14ac:dyDescent="0.35">
      <c r="A11" t="s">
        <v>39</v>
      </c>
      <c r="B11" t="s">
        <v>40</v>
      </c>
      <c r="C11" t="s">
        <v>19</v>
      </c>
      <c r="D11" s="1">
        <v>45110</v>
      </c>
      <c r="E11">
        <v>636</v>
      </c>
      <c r="F11">
        <v>501</v>
      </c>
      <c r="G11">
        <v>135</v>
      </c>
      <c r="H11" t="s">
        <v>12</v>
      </c>
      <c r="I11" t="s">
        <v>13</v>
      </c>
    </row>
    <row r="12" spans="1:9" x14ac:dyDescent="0.35">
      <c r="A12" t="s">
        <v>41</v>
      </c>
      <c r="B12" t="s">
        <v>42</v>
      </c>
      <c r="C12" t="s">
        <v>19</v>
      </c>
      <c r="D12" s="1">
        <v>45514</v>
      </c>
      <c r="E12">
        <v>622</v>
      </c>
      <c r="F12">
        <v>55</v>
      </c>
      <c r="G12">
        <v>567</v>
      </c>
      <c r="H12" t="s">
        <v>12</v>
      </c>
      <c r="I12" t="s">
        <v>13</v>
      </c>
    </row>
    <row r="13" spans="1:9" x14ac:dyDescent="0.35">
      <c r="A13" t="s">
        <v>43</v>
      </c>
      <c r="B13" t="s">
        <v>44</v>
      </c>
      <c r="C13" t="s">
        <v>19</v>
      </c>
      <c r="D13" s="1">
        <v>45177</v>
      </c>
      <c r="E13">
        <v>135</v>
      </c>
      <c r="F13">
        <v>32</v>
      </c>
      <c r="G13">
        <v>103</v>
      </c>
      <c r="H13" t="s">
        <v>12</v>
      </c>
      <c r="I13" t="s">
        <v>45</v>
      </c>
    </row>
    <row r="14" spans="1:9" x14ac:dyDescent="0.35">
      <c r="A14" t="s">
        <v>46</v>
      </c>
      <c r="B14" t="s">
        <v>38</v>
      </c>
      <c r="C14" t="s">
        <v>19</v>
      </c>
      <c r="D14" s="1">
        <v>45244</v>
      </c>
      <c r="E14">
        <v>150</v>
      </c>
      <c r="F14">
        <v>148</v>
      </c>
      <c r="G14">
        <v>2</v>
      </c>
      <c r="H14" t="s">
        <v>12</v>
      </c>
      <c r="I14" t="s">
        <v>28</v>
      </c>
    </row>
    <row r="15" spans="1:9" x14ac:dyDescent="0.35">
      <c r="A15" t="s">
        <v>47</v>
      </c>
      <c r="B15" t="s">
        <v>48</v>
      </c>
      <c r="C15" t="s">
        <v>31</v>
      </c>
      <c r="D15" s="1">
        <v>45411</v>
      </c>
      <c r="E15">
        <v>683</v>
      </c>
      <c r="F15">
        <v>587</v>
      </c>
      <c r="G15">
        <v>96</v>
      </c>
      <c r="H15" t="s">
        <v>12</v>
      </c>
      <c r="I15" t="s">
        <v>20</v>
      </c>
    </row>
    <row r="16" spans="1:9" x14ac:dyDescent="0.35">
      <c r="A16" t="s">
        <v>49</v>
      </c>
      <c r="B16" t="s">
        <v>50</v>
      </c>
      <c r="C16" t="s">
        <v>27</v>
      </c>
      <c r="D16" s="1">
        <v>45146</v>
      </c>
      <c r="E16">
        <v>286</v>
      </c>
      <c r="F16">
        <v>19</v>
      </c>
      <c r="G16">
        <v>267</v>
      </c>
      <c r="H16" t="s">
        <v>12</v>
      </c>
      <c r="I16" t="s">
        <v>32</v>
      </c>
    </row>
    <row r="17" spans="1:9" x14ac:dyDescent="0.35">
      <c r="A17" t="s">
        <v>51</v>
      </c>
      <c r="B17" t="s">
        <v>44</v>
      </c>
      <c r="C17" t="s">
        <v>23</v>
      </c>
      <c r="D17" s="1">
        <v>44941</v>
      </c>
      <c r="E17">
        <v>169</v>
      </c>
      <c r="F17">
        <v>81</v>
      </c>
      <c r="G17">
        <v>88</v>
      </c>
      <c r="H17" t="s">
        <v>12</v>
      </c>
      <c r="I17" t="s">
        <v>45</v>
      </c>
    </row>
    <row r="18" spans="1:9" x14ac:dyDescent="0.35">
      <c r="A18" t="s">
        <v>52</v>
      </c>
      <c r="B18" t="s">
        <v>30</v>
      </c>
      <c r="C18" t="s">
        <v>27</v>
      </c>
      <c r="D18" s="1">
        <v>44943</v>
      </c>
      <c r="E18">
        <v>135</v>
      </c>
      <c r="F18">
        <v>126</v>
      </c>
      <c r="G18">
        <v>9</v>
      </c>
      <c r="H18" t="s">
        <v>12</v>
      </c>
      <c r="I18" t="s">
        <v>13</v>
      </c>
    </row>
    <row r="19" spans="1:9" x14ac:dyDescent="0.35">
      <c r="A19" t="s">
        <v>53</v>
      </c>
      <c r="B19" t="s">
        <v>54</v>
      </c>
      <c r="C19" t="s">
        <v>23</v>
      </c>
      <c r="D19" s="1">
        <v>44942</v>
      </c>
      <c r="E19">
        <v>157</v>
      </c>
      <c r="F19">
        <v>141</v>
      </c>
      <c r="G19">
        <v>16</v>
      </c>
      <c r="H19" t="s">
        <v>12</v>
      </c>
      <c r="I19" t="s">
        <v>28</v>
      </c>
    </row>
    <row r="20" spans="1:9" x14ac:dyDescent="0.35">
      <c r="A20" t="s">
        <v>55</v>
      </c>
      <c r="B20" t="s">
        <v>56</v>
      </c>
      <c r="C20" t="s">
        <v>16</v>
      </c>
      <c r="D20" s="1">
        <v>45167</v>
      </c>
      <c r="E20">
        <v>519</v>
      </c>
      <c r="F20">
        <v>85</v>
      </c>
      <c r="G20">
        <v>434</v>
      </c>
      <c r="H20" t="s">
        <v>12</v>
      </c>
      <c r="I20" t="s">
        <v>45</v>
      </c>
    </row>
    <row r="21" spans="1:9" x14ac:dyDescent="0.35">
      <c r="A21" t="s">
        <v>57</v>
      </c>
      <c r="B21" t="s">
        <v>22</v>
      </c>
      <c r="C21" t="s">
        <v>27</v>
      </c>
      <c r="D21" s="1">
        <v>45044</v>
      </c>
      <c r="E21">
        <v>276</v>
      </c>
      <c r="F21">
        <v>85</v>
      </c>
      <c r="G21">
        <v>191</v>
      </c>
      <c r="H21" t="s">
        <v>12</v>
      </c>
      <c r="I21" t="s">
        <v>32</v>
      </c>
    </row>
    <row r="22" spans="1:9" x14ac:dyDescent="0.35">
      <c r="A22" t="s">
        <v>58</v>
      </c>
      <c r="B22" t="s">
        <v>59</v>
      </c>
      <c r="C22" t="s">
        <v>19</v>
      </c>
      <c r="D22" s="1">
        <v>45173</v>
      </c>
      <c r="E22">
        <v>274</v>
      </c>
      <c r="F22">
        <v>32</v>
      </c>
      <c r="G22">
        <v>242</v>
      </c>
      <c r="H22" t="s">
        <v>12</v>
      </c>
      <c r="I22" t="s">
        <v>20</v>
      </c>
    </row>
    <row r="23" spans="1:9" x14ac:dyDescent="0.35">
      <c r="A23" t="s">
        <v>60</v>
      </c>
      <c r="B23" t="s">
        <v>61</v>
      </c>
      <c r="C23" t="s">
        <v>16</v>
      </c>
      <c r="D23" s="1">
        <v>45205</v>
      </c>
      <c r="E23">
        <v>419</v>
      </c>
      <c r="F23">
        <v>307</v>
      </c>
      <c r="G23">
        <v>112</v>
      </c>
      <c r="H23" t="s">
        <v>12</v>
      </c>
      <c r="I23" t="s">
        <v>45</v>
      </c>
    </row>
    <row r="24" spans="1:9" x14ac:dyDescent="0.35">
      <c r="A24" t="s">
        <v>62</v>
      </c>
      <c r="B24" t="s">
        <v>63</v>
      </c>
      <c r="C24" t="s">
        <v>11</v>
      </c>
      <c r="D24" s="1">
        <v>45313</v>
      </c>
      <c r="E24">
        <v>423</v>
      </c>
      <c r="F24">
        <v>30</v>
      </c>
      <c r="G24">
        <v>393</v>
      </c>
      <c r="H24" t="s">
        <v>12</v>
      </c>
      <c r="I24" t="s">
        <v>24</v>
      </c>
    </row>
    <row r="25" spans="1:9" x14ac:dyDescent="0.35">
      <c r="A25" t="s">
        <v>64</v>
      </c>
      <c r="B25" t="s">
        <v>65</v>
      </c>
      <c r="C25" t="s">
        <v>27</v>
      </c>
      <c r="D25" s="1">
        <v>44994</v>
      </c>
      <c r="E25">
        <v>702</v>
      </c>
      <c r="F25">
        <v>532</v>
      </c>
      <c r="G25">
        <v>170</v>
      </c>
      <c r="H25" t="s">
        <v>12</v>
      </c>
      <c r="I25" t="s">
        <v>24</v>
      </c>
    </row>
    <row r="26" spans="1:9" x14ac:dyDescent="0.35">
      <c r="A26" t="s">
        <v>66</v>
      </c>
      <c r="B26" t="s">
        <v>67</v>
      </c>
      <c r="C26" t="s">
        <v>27</v>
      </c>
      <c r="D26" s="1">
        <v>45097</v>
      </c>
      <c r="E26">
        <v>268</v>
      </c>
      <c r="F26">
        <v>19</v>
      </c>
      <c r="G26">
        <v>249</v>
      </c>
      <c r="H26" t="s">
        <v>12</v>
      </c>
      <c r="I26" t="s">
        <v>13</v>
      </c>
    </row>
    <row r="27" spans="1:9" x14ac:dyDescent="0.35">
      <c r="A27" t="s">
        <v>68</v>
      </c>
      <c r="B27" t="s">
        <v>22</v>
      </c>
      <c r="C27" t="s">
        <v>23</v>
      </c>
      <c r="D27" s="1">
        <v>45434</v>
      </c>
      <c r="E27">
        <v>425</v>
      </c>
      <c r="F27">
        <v>319</v>
      </c>
      <c r="G27">
        <v>106</v>
      </c>
      <c r="H27" t="s">
        <v>12</v>
      </c>
      <c r="I27" t="s">
        <v>13</v>
      </c>
    </row>
    <row r="28" spans="1:9" x14ac:dyDescent="0.35">
      <c r="A28" t="s">
        <v>69</v>
      </c>
      <c r="B28" t="s">
        <v>70</v>
      </c>
      <c r="C28" t="s">
        <v>19</v>
      </c>
      <c r="D28" s="1">
        <v>45288</v>
      </c>
      <c r="E28">
        <v>557</v>
      </c>
      <c r="F28">
        <v>228</v>
      </c>
      <c r="G28">
        <v>329</v>
      </c>
      <c r="H28" t="s">
        <v>12</v>
      </c>
      <c r="I28" t="s">
        <v>32</v>
      </c>
    </row>
    <row r="29" spans="1:9" x14ac:dyDescent="0.35">
      <c r="A29" t="s">
        <v>71</v>
      </c>
      <c r="B29" t="s">
        <v>72</v>
      </c>
      <c r="C29" t="s">
        <v>16</v>
      </c>
      <c r="D29" s="1">
        <v>45057</v>
      </c>
      <c r="E29">
        <v>831</v>
      </c>
      <c r="F29">
        <v>187</v>
      </c>
      <c r="G29">
        <v>644</v>
      </c>
      <c r="H29" t="s">
        <v>12</v>
      </c>
      <c r="I29" t="s">
        <v>32</v>
      </c>
    </row>
    <row r="30" spans="1:9" x14ac:dyDescent="0.35">
      <c r="A30" t="s">
        <v>73</v>
      </c>
      <c r="B30" t="s">
        <v>59</v>
      </c>
      <c r="C30" t="s">
        <v>23</v>
      </c>
      <c r="D30" s="1">
        <v>44943</v>
      </c>
      <c r="E30">
        <v>241</v>
      </c>
      <c r="F30">
        <v>163</v>
      </c>
      <c r="G30">
        <v>78</v>
      </c>
      <c r="H30" t="s">
        <v>12</v>
      </c>
      <c r="I30" t="s">
        <v>45</v>
      </c>
    </row>
    <row r="31" spans="1:9" x14ac:dyDescent="0.35">
      <c r="A31" t="s">
        <v>74</v>
      </c>
      <c r="B31" t="s">
        <v>65</v>
      </c>
      <c r="C31" t="s">
        <v>11</v>
      </c>
      <c r="D31" s="1">
        <v>45039</v>
      </c>
      <c r="E31">
        <v>782</v>
      </c>
      <c r="F31">
        <v>461</v>
      </c>
      <c r="G31">
        <v>321</v>
      </c>
      <c r="H31" t="s">
        <v>12</v>
      </c>
      <c r="I31" t="s">
        <v>20</v>
      </c>
    </row>
    <row r="32" spans="1:9" x14ac:dyDescent="0.35">
      <c r="A32" t="s">
        <v>75</v>
      </c>
      <c r="B32" t="s">
        <v>76</v>
      </c>
      <c r="C32" t="s">
        <v>31</v>
      </c>
      <c r="D32" s="1">
        <v>45260</v>
      </c>
      <c r="E32">
        <v>485</v>
      </c>
      <c r="F32">
        <v>159</v>
      </c>
      <c r="G32">
        <v>326</v>
      </c>
      <c r="H32" t="s">
        <v>12</v>
      </c>
      <c r="I32" t="s">
        <v>45</v>
      </c>
    </row>
    <row r="33" spans="1:9" x14ac:dyDescent="0.35">
      <c r="A33" t="s">
        <v>77</v>
      </c>
      <c r="B33" t="s">
        <v>78</v>
      </c>
      <c r="C33" t="s">
        <v>31</v>
      </c>
      <c r="D33" s="1">
        <v>45262</v>
      </c>
      <c r="E33">
        <v>812</v>
      </c>
      <c r="F33">
        <v>375</v>
      </c>
      <c r="G33">
        <v>437</v>
      </c>
      <c r="H33" t="s">
        <v>12</v>
      </c>
      <c r="I33" t="s">
        <v>24</v>
      </c>
    </row>
    <row r="34" spans="1:9" x14ac:dyDescent="0.35">
      <c r="A34" t="s">
        <v>79</v>
      </c>
      <c r="B34" t="s">
        <v>80</v>
      </c>
      <c r="C34" t="s">
        <v>31</v>
      </c>
      <c r="D34" s="1">
        <v>45252</v>
      </c>
      <c r="E34">
        <v>157</v>
      </c>
      <c r="F34">
        <v>92</v>
      </c>
      <c r="G34">
        <v>65</v>
      </c>
      <c r="H34" t="s">
        <v>12</v>
      </c>
      <c r="I34" t="s">
        <v>32</v>
      </c>
    </row>
    <row r="35" spans="1:9" x14ac:dyDescent="0.35">
      <c r="A35" t="s">
        <v>81</v>
      </c>
      <c r="B35" t="s">
        <v>80</v>
      </c>
      <c r="C35" t="s">
        <v>27</v>
      </c>
      <c r="D35" s="1">
        <v>45012</v>
      </c>
      <c r="E35">
        <v>363</v>
      </c>
      <c r="F35">
        <v>52</v>
      </c>
      <c r="G35">
        <v>311</v>
      </c>
      <c r="H35" t="s">
        <v>12</v>
      </c>
      <c r="I35" t="s">
        <v>13</v>
      </c>
    </row>
    <row r="36" spans="1:9" x14ac:dyDescent="0.35">
      <c r="A36" t="s">
        <v>82</v>
      </c>
      <c r="B36" t="s">
        <v>83</v>
      </c>
      <c r="C36" t="s">
        <v>23</v>
      </c>
      <c r="D36" s="1">
        <v>45071</v>
      </c>
      <c r="E36">
        <v>103</v>
      </c>
      <c r="F36">
        <v>57</v>
      </c>
      <c r="G36">
        <v>46</v>
      </c>
      <c r="H36" t="s">
        <v>12</v>
      </c>
      <c r="I36" t="s">
        <v>13</v>
      </c>
    </row>
    <row r="37" spans="1:9" x14ac:dyDescent="0.35">
      <c r="A37" t="s">
        <v>84</v>
      </c>
      <c r="B37" t="s">
        <v>85</v>
      </c>
      <c r="C37" t="s">
        <v>31</v>
      </c>
      <c r="D37" s="1">
        <v>45321</v>
      </c>
      <c r="E37">
        <v>452</v>
      </c>
      <c r="F37">
        <v>407</v>
      </c>
      <c r="G37">
        <v>45</v>
      </c>
      <c r="H37" t="s">
        <v>12</v>
      </c>
      <c r="I37" t="s">
        <v>45</v>
      </c>
    </row>
    <row r="38" spans="1:9" x14ac:dyDescent="0.35">
      <c r="A38" t="s">
        <v>86</v>
      </c>
      <c r="B38" t="s">
        <v>87</v>
      </c>
      <c r="C38" t="s">
        <v>16</v>
      </c>
      <c r="D38" s="1">
        <v>45240</v>
      </c>
      <c r="E38">
        <v>677</v>
      </c>
      <c r="F38">
        <v>380</v>
      </c>
      <c r="G38">
        <v>297</v>
      </c>
      <c r="H38" t="s">
        <v>12</v>
      </c>
      <c r="I38" t="s">
        <v>20</v>
      </c>
    </row>
    <row r="39" spans="1:9" x14ac:dyDescent="0.35">
      <c r="A39" t="s">
        <v>88</v>
      </c>
      <c r="B39" t="s">
        <v>89</v>
      </c>
      <c r="C39" t="s">
        <v>11</v>
      </c>
      <c r="D39" s="1">
        <v>45235</v>
      </c>
      <c r="E39">
        <v>549</v>
      </c>
      <c r="F39">
        <v>292</v>
      </c>
      <c r="G39">
        <v>257</v>
      </c>
      <c r="H39" t="s">
        <v>12</v>
      </c>
      <c r="I39" t="s">
        <v>45</v>
      </c>
    </row>
    <row r="40" spans="1:9" x14ac:dyDescent="0.35">
      <c r="A40" t="s">
        <v>90</v>
      </c>
      <c r="B40" t="s">
        <v>91</v>
      </c>
      <c r="C40" t="s">
        <v>11</v>
      </c>
      <c r="D40" s="1">
        <v>45041</v>
      </c>
      <c r="E40">
        <v>653</v>
      </c>
      <c r="F40">
        <v>205</v>
      </c>
      <c r="G40">
        <v>448</v>
      </c>
      <c r="H40" t="s">
        <v>12</v>
      </c>
      <c r="I40" t="s">
        <v>20</v>
      </c>
    </row>
    <row r="41" spans="1:9" x14ac:dyDescent="0.35">
      <c r="A41" t="s">
        <v>92</v>
      </c>
      <c r="B41" t="s">
        <v>93</v>
      </c>
      <c r="C41" t="s">
        <v>11</v>
      </c>
      <c r="D41" s="1">
        <v>45329</v>
      </c>
      <c r="E41">
        <v>766</v>
      </c>
      <c r="F41">
        <v>55</v>
      </c>
      <c r="G41">
        <v>711</v>
      </c>
      <c r="H41" t="s">
        <v>12</v>
      </c>
      <c r="I41" t="s">
        <v>24</v>
      </c>
    </row>
    <row r="42" spans="1:9" x14ac:dyDescent="0.35">
      <c r="A42" t="s">
        <v>94</v>
      </c>
      <c r="B42" t="s">
        <v>63</v>
      </c>
      <c r="C42" t="s">
        <v>27</v>
      </c>
      <c r="D42" s="1">
        <v>45255</v>
      </c>
      <c r="E42">
        <v>965</v>
      </c>
      <c r="F42">
        <v>107</v>
      </c>
      <c r="G42">
        <v>858</v>
      </c>
      <c r="H42" t="s">
        <v>12</v>
      </c>
      <c r="I42" t="s">
        <v>32</v>
      </c>
    </row>
    <row r="43" spans="1:9" x14ac:dyDescent="0.35">
      <c r="A43" t="s">
        <v>95</v>
      </c>
      <c r="B43" t="s">
        <v>96</v>
      </c>
      <c r="C43" t="s">
        <v>16</v>
      </c>
      <c r="D43" s="1">
        <v>45071</v>
      </c>
      <c r="E43">
        <v>164</v>
      </c>
      <c r="F43">
        <v>141</v>
      </c>
      <c r="G43">
        <v>23</v>
      </c>
      <c r="H43" t="s">
        <v>12</v>
      </c>
      <c r="I43" t="s">
        <v>28</v>
      </c>
    </row>
    <row r="44" spans="1:9" x14ac:dyDescent="0.35">
      <c r="A44" t="s">
        <v>97</v>
      </c>
      <c r="B44" t="s">
        <v>91</v>
      </c>
      <c r="C44" t="s">
        <v>23</v>
      </c>
      <c r="D44" s="1">
        <v>45508</v>
      </c>
      <c r="E44">
        <v>249</v>
      </c>
      <c r="F44">
        <v>237</v>
      </c>
      <c r="G44">
        <v>12</v>
      </c>
      <c r="H44" t="s">
        <v>12</v>
      </c>
      <c r="I44" t="s">
        <v>13</v>
      </c>
    </row>
    <row r="45" spans="1:9" x14ac:dyDescent="0.35">
      <c r="A45" t="s">
        <v>98</v>
      </c>
      <c r="B45" t="s">
        <v>99</v>
      </c>
      <c r="C45" t="s">
        <v>11</v>
      </c>
      <c r="D45" s="1">
        <v>45253</v>
      </c>
      <c r="E45">
        <v>179</v>
      </c>
      <c r="F45">
        <v>174</v>
      </c>
      <c r="G45">
        <v>5</v>
      </c>
      <c r="H45" t="s">
        <v>12</v>
      </c>
      <c r="I45" t="s">
        <v>45</v>
      </c>
    </row>
    <row r="46" spans="1:9" x14ac:dyDescent="0.35">
      <c r="A46" t="s">
        <v>100</v>
      </c>
      <c r="B46" t="s">
        <v>36</v>
      </c>
      <c r="C46" t="s">
        <v>31</v>
      </c>
      <c r="D46" s="1">
        <v>45260</v>
      </c>
      <c r="E46">
        <v>595</v>
      </c>
      <c r="F46">
        <v>576</v>
      </c>
      <c r="G46">
        <v>19</v>
      </c>
      <c r="H46" t="s">
        <v>12</v>
      </c>
      <c r="I46" t="s">
        <v>24</v>
      </c>
    </row>
    <row r="47" spans="1:9" x14ac:dyDescent="0.35">
      <c r="A47" t="s">
        <v>101</v>
      </c>
      <c r="B47" t="s">
        <v>85</v>
      </c>
      <c r="C47" t="s">
        <v>19</v>
      </c>
      <c r="D47" s="1">
        <v>45400</v>
      </c>
      <c r="E47">
        <v>307</v>
      </c>
      <c r="F47">
        <v>130</v>
      </c>
      <c r="G47">
        <v>177</v>
      </c>
      <c r="H47" t="s">
        <v>12</v>
      </c>
      <c r="I47" t="s">
        <v>28</v>
      </c>
    </row>
    <row r="48" spans="1:9" x14ac:dyDescent="0.35">
      <c r="A48" t="s">
        <v>102</v>
      </c>
      <c r="B48" t="s">
        <v>103</v>
      </c>
      <c r="C48" t="s">
        <v>31</v>
      </c>
      <c r="D48" s="1">
        <v>44938</v>
      </c>
      <c r="E48">
        <v>965</v>
      </c>
      <c r="F48">
        <v>668</v>
      </c>
      <c r="G48">
        <v>297</v>
      </c>
      <c r="H48" t="s">
        <v>12</v>
      </c>
      <c r="I48" t="s">
        <v>32</v>
      </c>
    </row>
    <row r="49" spans="1:9" x14ac:dyDescent="0.35">
      <c r="A49" t="s">
        <v>104</v>
      </c>
      <c r="B49" t="s">
        <v>38</v>
      </c>
      <c r="C49" t="s">
        <v>31</v>
      </c>
      <c r="D49" s="1">
        <v>45263</v>
      </c>
      <c r="E49">
        <v>905</v>
      </c>
      <c r="F49">
        <v>155</v>
      </c>
      <c r="G49">
        <v>750</v>
      </c>
      <c r="H49" t="s">
        <v>12</v>
      </c>
      <c r="I49" t="s">
        <v>32</v>
      </c>
    </row>
    <row r="50" spans="1:9" x14ac:dyDescent="0.35">
      <c r="A50" t="s">
        <v>105</v>
      </c>
      <c r="B50" t="s">
        <v>106</v>
      </c>
      <c r="C50" t="s">
        <v>19</v>
      </c>
      <c r="D50" s="1">
        <v>44979</v>
      </c>
      <c r="E50">
        <v>516</v>
      </c>
      <c r="F50">
        <v>498</v>
      </c>
      <c r="G50">
        <v>18</v>
      </c>
      <c r="H50" t="s">
        <v>12</v>
      </c>
      <c r="I50" t="s">
        <v>13</v>
      </c>
    </row>
    <row r="51" spans="1:9" x14ac:dyDescent="0.35">
      <c r="A51" t="s">
        <v>107</v>
      </c>
      <c r="B51" t="s">
        <v>40</v>
      </c>
      <c r="C51" t="s">
        <v>31</v>
      </c>
      <c r="D51" s="1">
        <v>45161</v>
      </c>
      <c r="E51">
        <v>193</v>
      </c>
      <c r="F51">
        <v>168</v>
      </c>
      <c r="G51">
        <v>25</v>
      </c>
      <c r="H51" t="s">
        <v>12</v>
      </c>
      <c r="I51" t="s">
        <v>20</v>
      </c>
    </row>
    <row r="52" spans="1:9" x14ac:dyDescent="0.35">
      <c r="A52" t="s">
        <v>108</v>
      </c>
      <c r="B52" t="s">
        <v>109</v>
      </c>
      <c r="C52" t="s">
        <v>11</v>
      </c>
      <c r="D52" s="1">
        <v>45440</v>
      </c>
      <c r="E52">
        <v>417</v>
      </c>
      <c r="F52">
        <v>238</v>
      </c>
      <c r="G52">
        <v>179</v>
      </c>
      <c r="H52" t="s">
        <v>12</v>
      </c>
      <c r="I52" t="s">
        <v>13</v>
      </c>
    </row>
    <row r="53" spans="1:9" x14ac:dyDescent="0.35">
      <c r="A53" t="s">
        <v>110</v>
      </c>
      <c r="B53" t="s">
        <v>111</v>
      </c>
      <c r="C53" t="s">
        <v>11</v>
      </c>
      <c r="D53" s="1">
        <v>45155</v>
      </c>
      <c r="E53">
        <v>141</v>
      </c>
      <c r="F53">
        <v>127</v>
      </c>
      <c r="G53">
        <v>14</v>
      </c>
      <c r="H53" t="s">
        <v>12</v>
      </c>
      <c r="I53" t="s">
        <v>32</v>
      </c>
    </row>
    <row r="54" spans="1:9" x14ac:dyDescent="0.35">
      <c r="A54" t="s">
        <v>112</v>
      </c>
      <c r="B54" t="s">
        <v>113</v>
      </c>
      <c r="C54" t="s">
        <v>27</v>
      </c>
      <c r="D54" s="1">
        <v>45479</v>
      </c>
      <c r="E54">
        <v>940</v>
      </c>
      <c r="F54">
        <v>531</v>
      </c>
      <c r="G54">
        <v>409</v>
      </c>
      <c r="H54" t="s">
        <v>12</v>
      </c>
      <c r="I54" t="s">
        <v>20</v>
      </c>
    </row>
    <row r="55" spans="1:9" x14ac:dyDescent="0.35">
      <c r="A55" t="s">
        <v>114</v>
      </c>
      <c r="B55" t="s">
        <v>115</v>
      </c>
      <c r="C55" t="s">
        <v>23</v>
      </c>
      <c r="D55" s="1">
        <v>44951</v>
      </c>
      <c r="E55">
        <v>346</v>
      </c>
      <c r="F55">
        <v>150</v>
      </c>
      <c r="G55">
        <v>196</v>
      </c>
      <c r="H55" t="s">
        <v>12</v>
      </c>
      <c r="I55" t="s">
        <v>32</v>
      </c>
    </row>
    <row r="56" spans="1:9" x14ac:dyDescent="0.35">
      <c r="A56" t="s">
        <v>116</v>
      </c>
      <c r="B56" t="s">
        <v>87</v>
      </c>
      <c r="C56" t="s">
        <v>27</v>
      </c>
      <c r="D56" s="1">
        <v>45408</v>
      </c>
      <c r="E56">
        <v>990</v>
      </c>
      <c r="F56">
        <v>221</v>
      </c>
      <c r="G56">
        <v>769</v>
      </c>
      <c r="H56" t="s">
        <v>12</v>
      </c>
      <c r="I56" t="s">
        <v>32</v>
      </c>
    </row>
    <row r="57" spans="1:9" x14ac:dyDescent="0.35">
      <c r="A57" t="s">
        <v>117</v>
      </c>
      <c r="B57" t="s">
        <v>118</v>
      </c>
      <c r="C57" t="s">
        <v>19</v>
      </c>
      <c r="D57" s="1">
        <v>45371</v>
      </c>
      <c r="E57">
        <v>793</v>
      </c>
      <c r="F57">
        <v>85</v>
      </c>
      <c r="G57">
        <v>708</v>
      </c>
      <c r="H57" t="s">
        <v>12</v>
      </c>
      <c r="I57" t="s">
        <v>28</v>
      </c>
    </row>
    <row r="58" spans="1:9" x14ac:dyDescent="0.35">
      <c r="A58" t="s">
        <v>119</v>
      </c>
      <c r="B58" t="s">
        <v>103</v>
      </c>
      <c r="C58" t="s">
        <v>23</v>
      </c>
      <c r="D58" s="1">
        <v>45040</v>
      </c>
      <c r="E58">
        <v>842</v>
      </c>
      <c r="F58">
        <v>24</v>
      </c>
      <c r="G58">
        <v>818</v>
      </c>
      <c r="H58" t="s">
        <v>12</v>
      </c>
      <c r="I58" t="s">
        <v>13</v>
      </c>
    </row>
    <row r="59" spans="1:9" x14ac:dyDescent="0.35">
      <c r="A59" t="s">
        <v>120</v>
      </c>
      <c r="B59" t="s">
        <v>36</v>
      </c>
      <c r="C59" t="s">
        <v>31</v>
      </c>
      <c r="D59" s="1">
        <v>45400</v>
      </c>
      <c r="E59">
        <v>424</v>
      </c>
      <c r="F59">
        <v>132</v>
      </c>
      <c r="G59">
        <v>292</v>
      </c>
      <c r="H59" t="s">
        <v>12</v>
      </c>
      <c r="I59" t="s">
        <v>45</v>
      </c>
    </row>
    <row r="60" spans="1:9" x14ac:dyDescent="0.35">
      <c r="A60" t="s">
        <v>121</v>
      </c>
      <c r="B60" t="s">
        <v>38</v>
      </c>
      <c r="C60" t="s">
        <v>11</v>
      </c>
      <c r="D60" s="1">
        <v>44976</v>
      </c>
      <c r="E60">
        <v>587</v>
      </c>
      <c r="F60">
        <v>290</v>
      </c>
      <c r="G60">
        <v>297</v>
      </c>
      <c r="H60" t="s">
        <v>12</v>
      </c>
      <c r="I60" t="s">
        <v>13</v>
      </c>
    </row>
    <row r="61" spans="1:9" x14ac:dyDescent="0.35">
      <c r="A61" t="s">
        <v>122</v>
      </c>
      <c r="B61" t="s">
        <v>91</v>
      </c>
      <c r="C61" t="s">
        <v>27</v>
      </c>
      <c r="D61" s="1">
        <v>44984</v>
      </c>
      <c r="E61">
        <v>100</v>
      </c>
      <c r="F61">
        <v>77</v>
      </c>
      <c r="G61">
        <v>23</v>
      </c>
      <c r="H61" t="s">
        <v>12</v>
      </c>
      <c r="I61" t="s">
        <v>20</v>
      </c>
    </row>
    <row r="62" spans="1:9" x14ac:dyDescent="0.35">
      <c r="A62" t="s">
        <v>123</v>
      </c>
      <c r="B62" t="s">
        <v>89</v>
      </c>
      <c r="C62" t="s">
        <v>19</v>
      </c>
      <c r="D62" s="1">
        <v>45508</v>
      </c>
      <c r="E62">
        <v>492</v>
      </c>
      <c r="F62">
        <v>9</v>
      </c>
      <c r="G62">
        <v>483</v>
      </c>
      <c r="H62" t="s">
        <v>12</v>
      </c>
      <c r="I62" t="s">
        <v>20</v>
      </c>
    </row>
    <row r="63" spans="1:9" x14ac:dyDescent="0.35">
      <c r="A63" t="s">
        <v>124</v>
      </c>
      <c r="B63" t="s">
        <v>125</v>
      </c>
      <c r="C63" t="s">
        <v>16</v>
      </c>
      <c r="D63" s="1">
        <v>44950</v>
      </c>
      <c r="E63">
        <v>971</v>
      </c>
      <c r="F63">
        <v>346</v>
      </c>
      <c r="G63">
        <v>625</v>
      </c>
      <c r="H63" t="s">
        <v>12</v>
      </c>
      <c r="I63" t="s">
        <v>13</v>
      </c>
    </row>
    <row r="64" spans="1:9" x14ac:dyDescent="0.35">
      <c r="A64" t="s">
        <v>126</v>
      </c>
      <c r="B64" t="s">
        <v>127</v>
      </c>
      <c r="C64" t="s">
        <v>31</v>
      </c>
      <c r="D64" s="1">
        <v>45010</v>
      </c>
      <c r="E64">
        <v>763</v>
      </c>
      <c r="F64">
        <v>103</v>
      </c>
      <c r="G64">
        <v>660</v>
      </c>
      <c r="H64" t="s">
        <v>12</v>
      </c>
      <c r="I64" t="s">
        <v>24</v>
      </c>
    </row>
    <row r="65" spans="1:9" x14ac:dyDescent="0.35">
      <c r="A65" t="s">
        <v>128</v>
      </c>
      <c r="B65" t="s">
        <v>115</v>
      </c>
      <c r="C65" t="s">
        <v>27</v>
      </c>
      <c r="D65" s="1">
        <v>45397</v>
      </c>
      <c r="E65">
        <v>605</v>
      </c>
      <c r="F65">
        <v>50</v>
      </c>
      <c r="G65">
        <v>555</v>
      </c>
      <c r="H65" t="s">
        <v>12</v>
      </c>
      <c r="I65" t="s">
        <v>13</v>
      </c>
    </row>
    <row r="66" spans="1:9" x14ac:dyDescent="0.35">
      <c r="A66" t="s">
        <v>129</v>
      </c>
      <c r="B66" t="s">
        <v>130</v>
      </c>
      <c r="C66" t="s">
        <v>23</v>
      </c>
      <c r="D66" s="1">
        <v>45393</v>
      </c>
      <c r="E66">
        <v>244</v>
      </c>
      <c r="F66">
        <v>116</v>
      </c>
      <c r="G66">
        <v>128</v>
      </c>
      <c r="H66" t="s">
        <v>12</v>
      </c>
      <c r="I66" t="s">
        <v>20</v>
      </c>
    </row>
    <row r="67" spans="1:9" x14ac:dyDescent="0.35">
      <c r="A67" t="s">
        <v>131</v>
      </c>
      <c r="B67" t="s">
        <v>132</v>
      </c>
      <c r="C67" t="s">
        <v>27</v>
      </c>
      <c r="D67" s="1">
        <v>45124</v>
      </c>
      <c r="E67">
        <v>229</v>
      </c>
      <c r="F67">
        <v>208</v>
      </c>
      <c r="G67">
        <v>21</v>
      </c>
      <c r="H67" t="s">
        <v>12</v>
      </c>
      <c r="I67" t="s">
        <v>32</v>
      </c>
    </row>
    <row r="68" spans="1:9" x14ac:dyDescent="0.35">
      <c r="A68" t="s">
        <v>133</v>
      </c>
      <c r="B68" t="s">
        <v>134</v>
      </c>
      <c r="C68" t="s">
        <v>16</v>
      </c>
      <c r="D68" s="1">
        <v>45337</v>
      </c>
      <c r="E68">
        <v>628</v>
      </c>
      <c r="F68">
        <v>366</v>
      </c>
      <c r="G68">
        <v>262</v>
      </c>
      <c r="H68" t="s">
        <v>12</v>
      </c>
      <c r="I68" t="s">
        <v>20</v>
      </c>
    </row>
    <row r="69" spans="1:9" x14ac:dyDescent="0.35">
      <c r="A69" t="s">
        <v>135</v>
      </c>
      <c r="B69" t="s">
        <v>136</v>
      </c>
      <c r="C69" t="s">
        <v>31</v>
      </c>
      <c r="D69" s="1">
        <v>45430</v>
      </c>
      <c r="E69">
        <v>281</v>
      </c>
      <c r="F69">
        <v>277</v>
      </c>
      <c r="G69">
        <v>4</v>
      </c>
      <c r="H69" t="s">
        <v>12</v>
      </c>
      <c r="I69" t="s">
        <v>13</v>
      </c>
    </row>
    <row r="70" spans="1:9" x14ac:dyDescent="0.35">
      <c r="A70" t="s">
        <v>137</v>
      </c>
      <c r="B70" t="s">
        <v>138</v>
      </c>
      <c r="C70" t="s">
        <v>11</v>
      </c>
      <c r="D70" s="1">
        <v>45045</v>
      </c>
      <c r="E70">
        <v>617</v>
      </c>
      <c r="F70">
        <v>360</v>
      </c>
      <c r="G70">
        <v>257</v>
      </c>
      <c r="H70" t="s">
        <v>12</v>
      </c>
      <c r="I70" t="s">
        <v>24</v>
      </c>
    </row>
    <row r="71" spans="1:9" x14ac:dyDescent="0.35">
      <c r="A71" t="s">
        <v>139</v>
      </c>
      <c r="B71" t="s">
        <v>140</v>
      </c>
      <c r="C71" t="s">
        <v>23</v>
      </c>
      <c r="D71" s="1">
        <v>45124</v>
      </c>
      <c r="E71">
        <v>532</v>
      </c>
      <c r="F71">
        <v>40</v>
      </c>
      <c r="G71">
        <v>492</v>
      </c>
      <c r="H71" t="s">
        <v>12</v>
      </c>
      <c r="I71" t="s">
        <v>20</v>
      </c>
    </row>
    <row r="72" spans="1:9" x14ac:dyDescent="0.35">
      <c r="A72" t="s">
        <v>141</v>
      </c>
      <c r="B72" t="s">
        <v>30</v>
      </c>
      <c r="C72" t="s">
        <v>23</v>
      </c>
      <c r="D72" s="1">
        <v>45429</v>
      </c>
      <c r="E72">
        <v>778</v>
      </c>
      <c r="F72">
        <v>556</v>
      </c>
      <c r="G72">
        <v>222</v>
      </c>
      <c r="H72" t="s">
        <v>12</v>
      </c>
      <c r="I72" t="s">
        <v>20</v>
      </c>
    </row>
    <row r="73" spans="1:9" x14ac:dyDescent="0.35">
      <c r="A73" t="s">
        <v>142</v>
      </c>
      <c r="B73" t="s">
        <v>143</v>
      </c>
      <c r="C73" t="s">
        <v>23</v>
      </c>
      <c r="D73" s="1">
        <v>44954</v>
      </c>
      <c r="E73">
        <v>423</v>
      </c>
      <c r="F73">
        <v>141</v>
      </c>
      <c r="G73">
        <v>282</v>
      </c>
      <c r="H73" t="s">
        <v>12</v>
      </c>
      <c r="I73" t="s">
        <v>20</v>
      </c>
    </row>
    <row r="74" spans="1:9" x14ac:dyDescent="0.35">
      <c r="A74" t="s">
        <v>144</v>
      </c>
      <c r="B74" t="s">
        <v>145</v>
      </c>
      <c r="C74" t="s">
        <v>27</v>
      </c>
      <c r="D74" s="1">
        <v>45104</v>
      </c>
      <c r="E74">
        <v>979</v>
      </c>
      <c r="F74">
        <v>617</v>
      </c>
      <c r="G74">
        <v>362</v>
      </c>
      <c r="H74" t="s">
        <v>12</v>
      </c>
      <c r="I74" t="s">
        <v>32</v>
      </c>
    </row>
    <row r="75" spans="1:9" x14ac:dyDescent="0.35">
      <c r="A75" t="s">
        <v>146</v>
      </c>
      <c r="B75" t="s">
        <v>147</v>
      </c>
      <c r="C75" t="s">
        <v>11</v>
      </c>
      <c r="D75" s="1">
        <v>44992</v>
      </c>
      <c r="E75">
        <v>378</v>
      </c>
      <c r="F75">
        <v>79</v>
      </c>
      <c r="G75">
        <v>299</v>
      </c>
      <c r="H75" t="s">
        <v>12</v>
      </c>
      <c r="I75" t="s">
        <v>32</v>
      </c>
    </row>
    <row r="76" spans="1:9" x14ac:dyDescent="0.35">
      <c r="A76" t="s">
        <v>148</v>
      </c>
      <c r="B76" t="s">
        <v>18</v>
      </c>
      <c r="C76" t="s">
        <v>27</v>
      </c>
      <c r="D76" s="1">
        <v>45375</v>
      </c>
      <c r="E76">
        <v>207</v>
      </c>
      <c r="F76">
        <v>111</v>
      </c>
      <c r="G76">
        <v>96</v>
      </c>
      <c r="H76" t="s">
        <v>12</v>
      </c>
      <c r="I76" t="s">
        <v>32</v>
      </c>
    </row>
    <row r="77" spans="1:9" x14ac:dyDescent="0.35">
      <c r="A77" t="s">
        <v>149</v>
      </c>
      <c r="B77" t="s">
        <v>150</v>
      </c>
      <c r="C77" t="s">
        <v>31</v>
      </c>
      <c r="D77" s="1">
        <v>45298</v>
      </c>
      <c r="E77">
        <v>615</v>
      </c>
      <c r="F77">
        <v>604</v>
      </c>
      <c r="G77">
        <v>11</v>
      </c>
      <c r="H77" t="s">
        <v>12</v>
      </c>
      <c r="I77" t="s">
        <v>45</v>
      </c>
    </row>
    <row r="78" spans="1:9" x14ac:dyDescent="0.35">
      <c r="A78" t="s">
        <v>151</v>
      </c>
      <c r="B78" t="s">
        <v>34</v>
      </c>
      <c r="C78" t="s">
        <v>31</v>
      </c>
      <c r="D78" s="1">
        <v>45517</v>
      </c>
      <c r="E78">
        <v>645</v>
      </c>
      <c r="F78">
        <v>345</v>
      </c>
      <c r="G78">
        <v>300</v>
      </c>
      <c r="H78" t="s">
        <v>12</v>
      </c>
      <c r="I78" t="s">
        <v>45</v>
      </c>
    </row>
    <row r="79" spans="1:9" x14ac:dyDescent="0.35">
      <c r="A79" t="s">
        <v>152</v>
      </c>
      <c r="B79" t="s">
        <v>80</v>
      </c>
      <c r="C79" t="s">
        <v>27</v>
      </c>
      <c r="D79" s="1">
        <v>45077</v>
      </c>
      <c r="E79">
        <v>824</v>
      </c>
      <c r="F79">
        <v>176</v>
      </c>
      <c r="G79">
        <v>648</v>
      </c>
      <c r="H79" t="s">
        <v>12</v>
      </c>
      <c r="I79" t="s">
        <v>13</v>
      </c>
    </row>
    <row r="80" spans="1:9" x14ac:dyDescent="0.35">
      <c r="A80" t="s">
        <v>153</v>
      </c>
      <c r="B80" t="s">
        <v>38</v>
      </c>
      <c r="C80" t="s">
        <v>11</v>
      </c>
      <c r="D80" s="1">
        <v>44996</v>
      </c>
      <c r="E80">
        <v>155</v>
      </c>
      <c r="F80">
        <v>151</v>
      </c>
      <c r="G80">
        <v>4</v>
      </c>
      <c r="H80" t="s">
        <v>12</v>
      </c>
      <c r="I80" t="s">
        <v>13</v>
      </c>
    </row>
    <row r="81" spans="1:9" x14ac:dyDescent="0.35">
      <c r="A81" t="s">
        <v>154</v>
      </c>
      <c r="B81" t="s">
        <v>155</v>
      </c>
      <c r="C81" t="s">
        <v>23</v>
      </c>
      <c r="D81" s="1">
        <v>45198</v>
      </c>
      <c r="E81">
        <v>390</v>
      </c>
      <c r="F81">
        <v>281</v>
      </c>
      <c r="G81">
        <v>109</v>
      </c>
      <c r="H81" t="s">
        <v>12</v>
      </c>
      <c r="I81" t="s">
        <v>24</v>
      </c>
    </row>
    <row r="82" spans="1:9" x14ac:dyDescent="0.35">
      <c r="A82" t="s">
        <v>156</v>
      </c>
      <c r="B82" t="s">
        <v>157</v>
      </c>
      <c r="C82" t="s">
        <v>31</v>
      </c>
      <c r="D82" s="1">
        <v>45352</v>
      </c>
      <c r="E82">
        <v>134</v>
      </c>
      <c r="F82">
        <v>79</v>
      </c>
      <c r="G82">
        <v>55</v>
      </c>
      <c r="H82" t="s">
        <v>12</v>
      </c>
      <c r="I82" t="s">
        <v>20</v>
      </c>
    </row>
    <row r="83" spans="1:9" x14ac:dyDescent="0.35">
      <c r="A83" t="s">
        <v>158</v>
      </c>
      <c r="B83" t="s">
        <v>159</v>
      </c>
      <c r="C83" t="s">
        <v>16</v>
      </c>
      <c r="D83" s="1">
        <v>44958</v>
      </c>
      <c r="E83">
        <v>451</v>
      </c>
      <c r="F83">
        <v>119</v>
      </c>
      <c r="G83">
        <v>332</v>
      </c>
      <c r="H83" t="s">
        <v>12</v>
      </c>
      <c r="I83" t="s">
        <v>24</v>
      </c>
    </row>
    <row r="84" spans="1:9" x14ac:dyDescent="0.35">
      <c r="A84" t="s">
        <v>160</v>
      </c>
      <c r="B84" t="s">
        <v>161</v>
      </c>
      <c r="C84" t="s">
        <v>19</v>
      </c>
      <c r="D84" s="1">
        <v>45443</v>
      </c>
      <c r="E84">
        <v>470</v>
      </c>
      <c r="F84">
        <v>367</v>
      </c>
      <c r="G84">
        <v>103</v>
      </c>
      <c r="H84" t="s">
        <v>12</v>
      </c>
      <c r="I84" t="s">
        <v>28</v>
      </c>
    </row>
    <row r="85" spans="1:9" x14ac:dyDescent="0.35">
      <c r="A85" t="s">
        <v>162</v>
      </c>
      <c r="B85" t="s">
        <v>93</v>
      </c>
      <c r="C85" t="s">
        <v>27</v>
      </c>
      <c r="D85" s="1">
        <v>45085</v>
      </c>
      <c r="E85">
        <v>474</v>
      </c>
      <c r="F85">
        <v>61</v>
      </c>
      <c r="G85">
        <v>413</v>
      </c>
      <c r="H85" t="s">
        <v>12</v>
      </c>
      <c r="I85" t="s">
        <v>20</v>
      </c>
    </row>
    <row r="86" spans="1:9" x14ac:dyDescent="0.35">
      <c r="A86" t="s">
        <v>163</v>
      </c>
      <c r="B86" t="s">
        <v>15</v>
      </c>
      <c r="C86" t="s">
        <v>31</v>
      </c>
      <c r="D86" s="1">
        <v>45013</v>
      </c>
      <c r="E86">
        <v>600</v>
      </c>
      <c r="F86">
        <v>11</v>
      </c>
      <c r="G86">
        <v>589</v>
      </c>
      <c r="H86" t="s">
        <v>12</v>
      </c>
      <c r="I86" t="s">
        <v>13</v>
      </c>
    </row>
    <row r="87" spans="1:9" x14ac:dyDescent="0.35">
      <c r="A87" t="s">
        <v>164</v>
      </c>
      <c r="B87" t="s">
        <v>38</v>
      </c>
      <c r="C87" t="s">
        <v>11</v>
      </c>
      <c r="D87" s="1">
        <v>44985</v>
      </c>
      <c r="E87">
        <v>156</v>
      </c>
      <c r="F87">
        <v>156</v>
      </c>
      <c r="G87">
        <v>0</v>
      </c>
      <c r="H87" t="s">
        <v>165</v>
      </c>
      <c r="I87" t="s">
        <v>45</v>
      </c>
    </row>
    <row r="88" spans="1:9" x14ac:dyDescent="0.35">
      <c r="A88" t="s">
        <v>166</v>
      </c>
      <c r="B88" t="s">
        <v>18</v>
      </c>
      <c r="C88" t="s">
        <v>31</v>
      </c>
      <c r="D88" s="1">
        <v>44996</v>
      </c>
      <c r="E88">
        <v>744</v>
      </c>
      <c r="F88">
        <v>595</v>
      </c>
      <c r="G88">
        <v>149</v>
      </c>
      <c r="H88" t="s">
        <v>12</v>
      </c>
      <c r="I88" t="s">
        <v>24</v>
      </c>
    </row>
    <row r="89" spans="1:9" x14ac:dyDescent="0.35">
      <c r="A89" t="s">
        <v>167</v>
      </c>
      <c r="B89" t="s">
        <v>168</v>
      </c>
      <c r="C89" t="s">
        <v>16</v>
      </c>
      <c r="D89" s="1">
        <v>44977</v>
      </c>
      <c r="E89">
        <v>114</v>
      </c>
      <c r="F89">
        <v>55</v>
      </c>
      <c r="G89">
        <v>59</v>
      </c>
      <c r="H89" t="s">
        <v>12</v>
      </c>
      <c r="I89" t="s">
        <v>20</v>
      </c>
    </row>
    <row r="90" spans="1:9" x14ac:dyDescent="0.35">
      <c r="A90" t="s">
        <v>169</v>
      </c>
      <c r="B90" t="s">
        <v>22</v>
      </c>
      <c r="C90" t="s">
        <v>11</v>
      </c>
      <c r="D90" s="1">
        <v>45431</v>
      </c>
      <c r="E90">
        <v>231</v>
      </c>
      <c r="F90">
        <v>44</v>
      </c>
      <c r="G90">
        <v>187</v>
      </c>
      <c r="H90" t="s">
        <v>12</v>
      </c>
      <c r="I90" t="s">
        <v>20</v>
      </c>
    </row>
    <row r="91" spans="1:9" x14ac:dyDescent="0.35">
      <c r="A91" t="s">
        <v>170</v>
      </c>
      <c r="B91" t="s">
        <v>171</v>
      </c>
      <c r="C91" t="s">
        <v>19</v>
      </c>
      <c r="D91" s="1">
        <v>45052</v>
      </c>
      <c r="E91">
        <v>819</v>
      </c>
      <c r="F91">
        <v>803</v>
      </c>
      <c r="G91">
        <v>16</v>
      </c>
      <c r="H91" t="s">
        <v>12</v>
      </c>
      <c r="I91" t="s">
        <v>20</v>
      </c>
    </row>
    <row r="92" spans="1:9" x14ac:dyDescent="0.35">
      <c r="A92" t="s">
        <v>172</v>
      </c>
      <c r="B92" t="s">
        <v>106</v>
      </c>
      <c r="C92" t="s">
        <v>19</v>
      </c>
      <c r="D92" s="1">
        <v>45450</v>
      </c>
      <c r="E92">
        <v>454</v>
      </c>
      <c r="F92">
        <v>190</v>
      </c>
      <c r="G92">
        <v>264</v>
      </c>
      <c r="H92" t="s">
        <v>12</v>
      </c>
      <c r="I92" t="s">
        <v>45</v>
      </c>
    </row>
    <row r="93" spans="1:9" x14ac:dyDescent="0.35">
      <c r="A93" t="s">
        <v>173</v>
      </c>
      <c r="B93" t="s">
        <v>147</v>
      </c>
      <c r="C93" t="s">
        <v>31</v>
      </c>
      <c r="D93" s="1">
        <v>45349</v>
      </c>
      <c r="E93">
        <v>450</v>
      </c>
      <c r="F93">
        <v>191</v>
      </c>
      <c r="G93">
        <v>259</v>
      </c>
      <c r="H93" t="s">
        <v>12</v>
      </c>
      <c r="I93" t="s">
        <v>24</v>
      </c>
    </row>
    <row r="94" spans="1:9" x14ac:dyDescent="0.35">
      <c r="A94" t="s">
        <v>174</v>
      </c>
      <c r="B94" t="s">
        <v>175</v>
      </c>
      <c r="C94" t="s">
        <v>16</v>
      </c>
      <c r="D94" s="1">
        <v>45500</v>
      </c>
      <c r="E94">
        <v>440</v>
      </c>
      <c r="F94">
        <v>429</v>
      </c>
      <c r="G94">
        <v>11</v>
      </c>
      <c r="H94" t="s">
        <v>12</v>
      </c>
      <c r="I94" t="s">
        <v>45</v>
      </c>
    </row>
    <row r="95" spans="1:9" x14ac:dyDescent="0.35">
      <c r="A95" t="s">
        <v>176</v>
      </c>
      <c r="B95" t="s">
        <v>175</v>
      </c>
      <c r="C95" t="s">
        <v>31</v>
      </c>
      <c r="D95" s="1">
        <v>45028</v>
      </c>
      <c r="E95">
        <v>349</v>
      </c>
      <c r="F95">
        <v>190</v>
      </c>
      <c r="G95">
        <v>159</v>
      </c>
      <c r="H95" t="s">
        <v>12</v>
      </c>
      <c r="I95" t="s">
        <v>45</v>
      </c>
    </row>
    <row r="96" spans="1:9" x14ac:dyDescent="0.35">
      <c r="A96" t="s">
        <v>177</v>
      </c>
      <c r="B96" t="s">
        <v>178</v>
      </c>
      <c r="C96" t="s">
        <v>11</v>
      </c>
      <c r="D96" s="1">
        <v>45079</v>
      </c>
      <c r="E96">
        <v>808</v>
      </c>
      <c r="F96">
        <v>590</v>
      </c>
      <c r="G96">
        <v>218</v>
      </c>
      <c r="H96" t="s">
        <v>12</v>
      </c>
      <c r="I96" t="s">
        <v>24</v>
      </c>
    </row>
    <row r="97" spans="1:9" x14ac:dyDescent="0.35">
      <c r="A97" t="s">
        <v>179</v>
      </c>
      <c r="B97" t="s">
        <v>134</v>
      </c>
      <c r="C97" t="s">
        <v>11</v>
      </c>
      <c r="D97" s="1">
        <v>45296</v>
      </c>
      <c r="E97">
        <v>818</v>
      </c>
      <c r="F97">
        <v>245</v>
      </c>
      <c r="G97">
        <v>573</v>
      </c>
      <c r="H97" t="s">
        <v>12</v>
      </c>
      <c r="I97" t="s">
        <v>13</v>
      </c>
    </row>
    <row r="98" spans="1:9" x14ac:dyDescent="0.35">
      <c r="A98" t="s">
        <v>180</v>
      </c>
      <c r="B98" t="s">
        <v>147</v>
      </c>
      <c r="C98" t="s">
        <v>16</v>
      </c>
      <c r="D98" s="1">
        <v>45178</v>
      </c>
      <c r="E98">
        <v>801</v>
      </c>
      <c r="F98">
        <v>188</v>
      </c>
      <c r="G98">
        <v>613</v>
      </c>
      <c r="H98" t="s">
        <v>12</v>
      </c>
      <c r="I98" t="s">
        <v>24</v>
      </c>
    </row>
    <row r="99" spans="1:9" x14ac:dyDescent="0.35">
      <c r="A99" t="s">
        <v>181</v>
      </c>
      <c r="B99" t="s">
        <v>103</v>
      </c>
      <c r="C99" t="s">
        <v>11</v>
      </c>
      <c r="D99" s="1">
        <v>44967</v>
      </c>
      <c r="E99">
        <v>567</v>
      </c>
      <c r="F99">
        <v>255</v>
      </c>
      <c r="G99">
        <v>312</v>
      </c>
      <c r="H99" t="s">
        <v>12</v>
      </c>
      <c r="I99" t="s">
        <v>24</v>
      </c>
    </row>
    <row r="100" spans="1:9" x14ac:dyDescent="0.35">
      <c r="A100" t="s">
        <v>182</v>
      </c>
      <c r="B100" t="s">
        <v>36</v>
      </c>
      <c r="C100" t="s">
        <v>27</v>
      </c>
      <c r="D100" s="1">
        <v>45524</v>
      </c>
      <c r="E100">
        <v>938</v>
      </c>
      <c r="F100">
        <v>387</v>
      </c>
      <c r="G100">
        <v>551</v>
      </c>
      <c r="H100" t="s">
        <v>12</v>
      </c>
      <c r="I100" t="s">
        <v>28</v>
      </c>
    </row>
    <row r="101" spans="1:9" x14ac:dyDescent="0.35">
      <c r="A101" t="s">
        <v>183</v>
      </c>
      <c r="B101" t="s">
        <v>184</v>
      </c>
      <c r="C101" t="s">
        <v>31</v>
      </c>
      <c r="D101" s="1">
        <v>45123</v>
      </c>
      <c r="E101">
        <v>710</v>
      </c>
      <c r="F101">
        <v>698</v>
      </c>
      <c r="G101">
        <v>12</v>
      </c>
      <c r="H101" t="s">
        <v>12</v>
      </c>
      <c r="I101" t="s">
        <v>32</v>
      </c>
    </row>
    <row r="102" spans="1:9" x14ac:dyDescent="0.35">
      <c r="A102" t="s">
        <v>185</v>
      </c>
      <c r="B102" t="s">
        <v>186</v>
      </c>
      <c r="C102" t="s">
        <v>31</v>
      </c>
      <c r="D102" s="1">
        <v>45326</v>
      </c>
      <c r="E102">
        <v>236</v>
      </c>
      <c r="F102">
        <v>8</v>
      </c>
      <c r="G102">
        <v>228</v>
      </c>
      <c r="H102" t="s">
        <v>12</v>
      </c>
      <c r="I102" t="s">
        <v>20</v>
      </c>
    </row>
    <row r="103" spans="1:9" x14ac:dyDescent="0.35">
      <c r="A103" t="s">
        <v>187</v>
      </c>
      <c r="B103" t="s">
        <v>136</v>
      </c>
      <c r="C103" t="s">
        <v>27</v>
      </c>
      <c r="D103" s="1">
        <v>45492</v>
      </c>
      <c r="E103">
        <v>253</v>
      </c>
      <c r="F103">
        <v>213</v>
      </c>
      <c r="G103">
        <v>40</v>
      </c>
      <c r="H103" t="s">
        <v>12</v>
      </c>
      <c r="I103" t="s">
        <v>45</v>
      </c>
    </row>
    <row r="104" spans="1:9" x14ac:dyDescent="0.35">
      <c r="A104" t="s">
        <v>188</v>
      </c>
      <c r="B104" t="s">
        <v>189</v>
      </c>
      <c r="C104" t="s">
        <v>16</v>
      </c>
      <c r="D104" s="1">
        <v>45162</v>
      </c>
      <c r="E104">
        <v>277</v>
      </c>
      <c r="F104">
        <v>199</v>
      </c>
      <c r="G104">
        <v>78</v>
      </c>
      <c r="H104" t="s">
        <v>12</v>
      </c>
      <c r="I104" t="s">
        <v>32</v>
      </c>
    </row>
    <row r="105" spans="1:9" x14ac:dyDescent="0.35">
      <c r="A105" t="s">
        <v>190</v>
      </c>
      <c r="B105" t="s">
        <v>72</v>
      </c>
      <c r="C105" t="s">
        <v>19</v>
      </c>
      <c r="D105" s="1">
        <v>45082</v>
      </c>
      <c r="E105">
        <v>499</v>
      </c>
      <c r="F105">
        <v>6</v>
      </c>
      <c r="G105">
        <v>493</v>
      </c>
      <c r="H105" t="s">
        <v>12</v>
      </c>
      <c r="I105" t="s">
        <v>13</v>
      </c>
    </row>
    <row r="106" spans="1:9" x14ac:dyDescent="0.35">
      <c r="A106" t="s">
        <v>191</v>
      </c>
      <c r="B106" t="s">
        <v>192</v>
      </c>
      <c r="C106" t="s">
        <v>23</v>
      </c>
      <c r="D106" s="1">
        <v>45023</v>
      </c>
      <c r="E106">
        <v>526</v>
      </c>
      <c r="F106">
        <v>360</v>
      </c>
      <c r="G106">
        <v>166</v>
      </c>
      <c r="H106" t="s">
        <v>12</v>
      </c>
      <c r="I106" t="s">
        <v>20</v>
      </c>
    </row>
    <row r="107" spans="1:9" x14ac:dyDescent="0.35">
      <c r="A107" t="s">
        <v>193</v>
      </c>
      <c r="B107" t="s">
        <v>44</v>
      </c>
      <c r="C107" t="s">
        <v>19</v>
      </c>
      <c r="D107" s="1">
        <v>45481</v>
      </c>
      <c r="E107">
        <v>970</v>
      </c>
      <c r="F107">
        <v>133</v>
      </c>
      <c r="G107">
        <v>837</v>
      </c>
      <c r="H107" t="s">
        <v>12</v>
      </c>
      <c r="I107" t="s">
        <v>28</v>
      </c>
    </row>
    <row r="108" spans="1:9" x14ac:dyDescent="0.35">
      <c r="A108" t="s">
        <v>194</v>
      </c>
      <c r="B108" t="s">
        <v>195</v>
      </c>
      <c r="C108" t="s">
        <v>31</v>
      </c>
      <c r="D108" s="1">
        <v>45278</v>
      </c>
      <c r="E108">
        <v>292</v>
      </c>
      <c r="F108">
        <v>56</v>
      </c>
      <c r="G108">
        <v>236</v>
      </c>
      <c r="H108" t="s">
        <v>12</v>
      </c>
      <c r="I108" t="s">
        <v>32</v>
      </c>
    </row>
    <row r="109" spans="1:9" x14ac:dyDescent="0.35">
      <c r="A109" t="s">
        <v>196</v>
      </c>
      <c r="B109" t="s">
        <v>93</v>
      </c>
      <c r="C109" t="s">
        <v>31</v>
      </c>
      <c r="D109" s="1">
        <v>45143</v>
      </c>
      <c r="E109">
        <v>799</v>
      </c>
      <c r="F109">
        <v>155</v>
      </c>
      <c r="G109">
        <v>644</v>
      </c>
      <c r="H109" t="s">
        <v>12</v>
      </c>
      <c r="I109" t="s">
        <v>28</v>
      </c>
    </row>
    <row r="110" spans="1:9" x14ac:dyDescent="0.35">
      <c r="A110" t="s">
        <v>197</v>
      </c>
      <c r="B110" t="s">
        <v>130</v>
      </c>
      <c r="C110" t="s">
        <v>27</v>
      </c>
      <c r="D110" s="1">
        <v>45409</v>
      </c>
      <c r="E110">
        <v>486</v>
      </c>
      <c r="F110">
        <v>268</v>
      </c>
      <c r="G110">
        <v>218</v>
      </c>
      <c r="H110" t="s">
        <v>12</v>
      </c>
      <c r="I110" t="s">
        <v>45</v>
      </c>
    </row>
    <row r="111" spans="1:9" x14ac:dyDescent="0.35">
      <c r="A111" t="s">
        <v>198</v>
      </c>
      <c r="B111" t="s">
        <v>10</v>
      </c>
      <c r="C111" t="s">
        <v>31</v>
      </c>
      <c r="D111" s="1">
        <v>45488</v>
      </c>
      <c r="E111">
        <v>137</v>
      </c>
      <c r="F111">
        <v>76</v>
      </c>
      <c r="G111">
        <v>61</v>
      </c>
      <c r="H111" t="s">
        <v>12</v>
      </c>
      <c r="I111" t="s">
        <v>28</v>
      </c>
    </row>
    <row r="112" spans="1:9" x14ac:dyDescent="0.35">
      <c r="A112" t="s">
        <v>199</v>
      </c>
      <c r="B112" t="s">
        <v>134</v>
      </c>
      <c r="C112" t="s">
        <v>11</v>
      </c>
      <c r="D112" s="1">
        <v>45392</v>
      </c>
      <c r="E112">
        <v>419</v>
      </c>
      <c r="F112">
        <v>353</v>
      </c>
      <c r="G112">
        <v>66</v>
      </c>
      <c r="H112" t="s">
        <v>12</v>
      </c>
      <c r="I112" t="s">
        <v>24</v>
      </c>
    </row>
    <row r="113" spans="1:9" x14ac:dyDescent="0.35">
      <c r="A113" t="s">
        <v>200</v>
      </c>
      <c r="B113" t="s">
        <v>26</v>
      </c>
      <c r="C113" t="s">
        <v>11</v>
      </c>
      <c r="D113" s="1">
        <v>45065</v>
      </c>
      <c r="E113">
        <v>908</v>
      </c>
      <c r="F113">
        <v>331</v>
      </c>
      <c r="G113">
        <v>577</v>
      </c>
      <c r="H113" t="s">
        <v>12</v>
      </c>
      <c r="I113" t="s">
        <v>13</v>
      </c>
    </row>
    <row r="114" spans="1:9" x14ac:dyDescent="0.35">
      <c r="A114" t="s">
        <v>201</v>
      </c>
      <c r="B114" t="s">
        <v>202</v>
      </c>
      <c r="C114" t="s">
        <v>11</v>
      </c>
      <c r="D114" s="1">
        <v>45141</v>
      </c>
      <c r="E114">
        <v>409</v>
      </c>
      <c r="F114">
        <v>104</v>
      </c>
      <c r="G114">
        <v>305</v>
      </c>
      <c r="H114" t="s">
        <v>12</v>
      </c>
      <c r="I114" t="s">
        <v>20</v>
      </c>
    </row>
    <row r="115" spans="1:9" x14ac:dyDescent="0.35">
      <c r="A115" t="s">
        <v>203</v>
      </c>
      <c r="B115" t="s">
        <v>96</v>
      </c>
      <c r="C115" t="s">
        <v>31</v>
      </c>
      <c r="D115" s="1">
        <v>45212</v>
      </c>
      <c r="E115">
        <v>524</v>
      </c>
      <c r="F115">
        <v>229</v>
      </c>
      <c r="G115">
        <v>295</v>
      </c>
      <c r="H115" t="s">
        <v>12</v>
      </c>
      <c r="I115" t="s">
        <v>32</v>
      </c>
    </row>
    <row r="116" spans="1:9" x14ac:dyDescent="0.35">
      <c r="A116" t="s">
        <v>204</v>
      </c>
      <c r="B116" t="s">
        <v>192</v>
      </c>
      <c r="C116" t="s">
        <v>23</v>
      </c>
      <c r="D116" s="1">
        <v>45363</v>
      </c>
      <c r="E116">
        <v>860</v>
      </c>
      <c r="F116">
        <v>815</v>
      </c>
      <c r="G116">
        <v>45</v>
      </c>
      <c r="H116" t="s">
        <v>12</v>
      </c>
      <c r="I116" t="s">
        <v>45</v>
      </c>
    </row>
    <row r="117" spans="1:9" x14ac:dyDescent="0.35">
      <c r="A117" t="s">
        <v>205</v>
      </c>
      <c r="B117" t="s">
        <v>206</v>
      </c>
      <c r="C117" t="s">
        <v>27</v>
      </c>
      <c r="D117" s="1">
        <v>45013</v>
      </c>
      <c r="E117">
        <v>592</v>
      </c>
      <c r="F117">
        <v>387</v>
      </c>
      <c r="G117">
        <v>205</v>
      </c>
      <c r="H117" t="s">
        <v>12</v>
      </c>
      <c r="I117" t="s">
        <v>20</v>
      </c>
    </row>
    <row r="118" spans="1:9" x14ac:dyDescent="0.35">
      <c r="A118" t="s">
        <v>207</v>
      </c>
      <c r="B118" t="s">
        <v>192</v>
      </c>
      <c r="C118" t="s">
        <v>16</v>
      </c>
      <c r="D118" s="1">
        <v>45024</v>
      </c>
      <c r="E118">
        <v>956</v>
      </c>
      <c r="F118">
        <v>2</v>
      </c>
      <c r="G118">
        <v>954</v>
      </c>
      <c r="H118" t="s">
        <v>12</v>
      </c>
      <c r="I118" t="s">
        <v>24</v>
      </c>
    </row>
    <row r="119" spans="1:9" x14ac:dyDescent="0.35">
      <c r="A119" t="s">
        <v>208</v>
      </c>
      <c r="B119" t="s">
        <v>161</v>
      </c>
      <c r="C119" t="s">
        <v>16</v>
      </c>
      <c r="D119" s="1">
        <v>45037</v>
      </c>
      <c r="E119">
        <v>146</v>
      </c>
      <c r="F119">
        <v>68</v>
      </c>
      <c r="G119">
        <v>78</v>
      </c>
      <c r="H119" t="s">
        <v>12</v>
      </c>
      <c r="I119" t="s">
        <v>13</v>
      </c>
    </row>
    <row r="120" spans="1:9" x14ac:dyDescent="0.35">
      <c r="A120" t="s">
        <v>209</v>
      </c>
      <c r="B120" t="s">
        <v>76</v>
      </c>
      <c r="C120" t="s">
        <v>27</v>
      </c>
      <c r="D120" s="1">
        <v>45256</v>
      </c>
      <c r="E120">
        <v>449</v>
      </c>
      <c r="F120">
        <v>292</v>
      </c>
      <c r="G120">
        <v>157</v>
      </c>
      <c r="H120" t="s">
        <v>12</v>
      </c>
      <c r="I120" t="s">
        <v>32</v>
      </c>
    </row>
    <row r="121" spans="1:9" x14ac:dyDescent="0.35">
      <c r="A121" t="s">
        <v>210</v>
      </c>
      <c r="B121" t="s">
        <v>42</v>
      </c>
      <c r="C121" t="s">
        <v>11</v>
      </c>
      <c r="D121" s="1">
        <v>45294</v>
      </c>
      <c r="E121">
        <v>995</v>
      </c>
      <c r="F121">
        <v>877</v>
      </c>
      <c r="G121">
        <v>118</v>
      </c>
      <c r="H121" t="s">
        <v>12</v>
      </c>
      <c r="I121" t="s">
        <v>24</v>
      </c>
    </row>
    <row r="122" spans="1:9" x14ac:dyDescent="0.35">
      <c r="A122" t="s">
        <v>211</v>
      </c>
      <c r="B122" t="s">
        <v>83</v>
      </c>
      <c r="C122" t="s">
        <v>19</v>
      </c>
      <c r="D122" s="1">
        <v>45459</v>
      </c>
      <c r="E122">
        <v>412</v>
      </c>
      <c r="F122">
        <v>142</v>
      </c>
      <c r="G122">
        <v>270</v>
      </c>
      <c r="H122" t="s">
        <v>12</v>
      </c>
      <c r="I122" t="s">
        <v>13</v>
      </c>
    </row>
    <row r="123" spans="1:9" x14ac:dyDescent="0.35">
      <c r="A123" t="s">
        <v>212</v>
      </c>
      <c r="B123" t="s">
        <v>155</v>
      </c>
      <c r="C123" t="s">
        <v>11</v>
      </c>
      <c r="D123" s="1">
        <v>45266</v>
      </c>
      <c r="E123">
        <v>586</v>
      </c>
      <c r="F123">
        <v>529</v>
      </c>
      <c r="G123">
        <v>57</v>
      </c>
      <c r="H123" t="s">
        <v>12</v>
      </c>
      <c r="I123" t="s">
        <v>45</v>
      </c>
    </row>
    <row r="124" spans="1:9" x14ac:dyDescent="0.35">
      <c r="A124" t="s">
        <v>213</v>
      </c>
      <c r="B124" t="s">
        <v>214</v>
      </c>
      <c r="C124" t="s">
        <v>19</v>
      </c>
      <c r="D124" s="1">
        <v>45317</v>
      </c>
      <c r="E124">
        <v>646</v>
      </c>
      <c r="F124">
        <v>480</v>
      </c>
      <c r="G124">
        <v>166</v>
      </c>
      <c r="H124" t="s">
        <v>12</v>
      </c>
      <c r="I124" t="s">
        <v>20</v>
      </c>
    </row>
    <row r="125" spans="1:9" x14ac:dyDescent="0.35">
      <c r="A125" t="s">
        <v>215</v>
      </c>
      <c r="B125" t="s">
        <v>216</v>
      </c>
      <c r="C125" t="s">
        <v>23</v>
      </c>
      <c r="D125" s="1">
        <v>45150</v>
      </c>
      <c r="E125">
        <v>786</v>
      </c>
      <c r="F125">
        <v>493</v>
      </c>
      <c r="G125">
        <v>293</v>
      </c>
      <c r="H125" t="s">
        <v>12</v>
      </c>
      <c r="I125" t="s">
        <v>24</v>
      </c>
    </row>
    <row r="126" spans="1:9" x14ac:dyDescent="0.35">
      <c r="A126" t="s">
        <v>217</v>
      </c>
      <c r="B126" t="s">
        <v>38</v>
      </c>
      <c r="C126" t="s">
        <v>11</v>
      </c>
      <c r="D126" s="1">
        <v>45118</v>
      </c>
      <c r="E126">
        <v>613</v>
      </c>
      <c r="F126">
        <v>304</v>
      </c>
      <c r="G126">
        <v>309</v>
      </c>
      <c r="H126" t="s">
        <v>12</v>
      </c>
      <c r="I126" t="s">
        <v>13</v>
      </c>
    </row>
    <row r="127" spans="1:9" x14ac:dyDescent="0.35">
      <c r="A127" t="s">
        <v>218</v>
      </c>
      <c r="B127" t="s">
        <v>22</v>
      </c>
      <c r="C127" t="s">
        <v>31</v>
      </c>
      <c r="D127" s="1">
        <v>45257</v>
      </c>
      <c r="E127">
        <v>405</v>
      </c>
      <c r="F127">
        <v>327</v>
      </c>
      <c r="G127">
        <v>78</v>
      </c>
      <c r="H127" t="s">
        <v>12</v>
      </c>
      <c r="I127" t="s">
        <v>20</v>
      </c>
    </row>
    <row r="128" spans="1:9" x14ac:dyDescent="0.35">
      <c r="A128" t="s">
        <v>219</v>
      </c>
      <c r="B128" t="s">
        <v>111</v>
      </c>
      <c r="C128" t="s">
        <v>16</v>
      </c>
      <c r="D128" s="1">
        <v>45073</v>
      </c>
      <c r="E128">
        <v>751</v>
      </c>
      <c r="F128">
        <v>82</v>
      </c>
      <c r="G128">
        <v>669</v>
      </c>
      <c r="H128" t="s">
        <v>12</v>
      </c>
      <c r="I128" t="s">
        <v>32</v>
      </c>
    </row>
    <row r="129" spans="1:9" x14ac:dyDescent="0.35">
      <c r="A129" t="s">
        <v>220</v>
      </c>
      <c r="B129" t="s">
        <v>221</v>
      </c>
      <c r="C129" t="s">
        <v>19</v>
      </c>
      <c r="D129" s="1">
        <v>45447</v>
      </c>
      <c r="E129">
        <v>149</v>
      </c>
      <c r="F129">
        <v>121</v>
      </c>
      <c r="G129">
        <v>28</v>
      </c>
      <c r="H129" t="s">
        <v>12</v>
      </c>
      <c r="I129" t="s">
        <v>13</v>
      </c>
    </row>
    <row r="130" spans="1:9" x14ac:dyDescent="0.35">
      <c r="A130" t="s">
        <v>222</v>
      </c>
      <c r="B130" t="s">
        <v>223</v>
      </c>
      <c r="C130" t="s">
        <v>27</v>
      </c>
      <c r="D130" s="1">
        <v>45499</v>
      </c>
      <c r="E130">
        <v>135</v>
      </c>
      <c r="F130">
        <v>47</v>
      </c>
      <c r="G130">
        <v>88</v>
      </c>
      <c r="H130" t="s">
        <v>12</v>
      </c>
      <c r="I130" t="s">
        <v>20</v>
      </c>
    </row>
    <row r="131" spans="1:9" x14ac:dyDescent="0.35">
      <c r="A131" t="s">
        <v>224</v>
      </c>
      <c r="B131" t="s">
        <v>44</v>
      </c>
      <c r="C131" t="s">
        <v>11</v>
      </c>
      <c r="D131" s="1">
        <v>45366</v>
      </c>
      <c r="E131">
        <v>581</v>
      </c>
      <c r="F131">
        <v>57</v>
      </c>
      <c r="G131">
        <v>524</v>
      </c>
      <c r="H131" t="s">
        <v>12</v>
      </c>
      <c r="I131" t="s">
        <v>20</v>
      </c>
    </row>
    <row r="132" spans="1:9" x14ac:dyDescent="0.35">
      <c r="A132" t="s">
        <v>225</v>
      </c>
      <c r="B132" t="s">
        <v>106</v>
      </c>
      <c r="C132" t="s">
        <v>23</v>
      </c>
      <c r="D132" s="1">
        <v>45241</v>
      </c>
      <c r="E132">
        <v>868</v>
      </c>
      <c r="F132">
        <v>840</v>
      </c>
      <c r="G132">
        <v>28</v>
      </c>
      <c r="H132" t="s">
        <v>12</v>
      </c>
      <c r="I132" t="s">
        <v>24</v>
      </c>
    </row>
    <row r="133" spans="1:9" x14ac:dyDescent="0.35">
      <c r="A133" t="s">
        <v>226</v>
      </c>
      <c r="B133" t="s">
        <v>36</v>
      </c>
      <c r="C133" t="s">
        <v>31</v>
      </c>
      <c r="D133" s="1">
        <v>45207</v>
      </c>
      <c r="E133">
        <v>877</v>
      </c>
      <c r="F133">
        <v>527</v>
      </c>
      <c r="G133">
        <v>350</v>
      </c>
      <c r="H133" t="s">
        <v>12</v>
      </c>
      <c r="I133" t="s">
        <v>20</v>
      </c>
    </row>
    <row r="134" spans="1:9" x14ac:dyDescent="0.35">
      <c r="A134" t="s">
        <v>227</v>
      </c>
      <c r="B134" t="s">
        <v>228</v>
      </c>
      <c r="C134" t="s">
        <v>27</v>
      </c>
      <c r="D134" s="1">
        <v>45336</v>
      </c>
      <c r="E134">
        <v>911</v>
      </c>
      <c r="F134">
        <v>156</v>
      </c>
      <c r="G134">
        <v>755</v>
      </c>
      <c r="H134" t="s">
        <v>12</v>
      </c>
      <c r="I134" t="s">
        <v>24</v>
      </c>
    </row>
    <row r="135" spans="1:9" x14ac:dyDescent="0.35">
      <c r="A135" t="s">
        <v>229</v>
      </c>
      <c r="B135" t="s">
        <v>54</v>
      </c>
      <c r="C135" t="s">
        <v>16</v>
      </c>
      <c r="D135" s="1">
        <v>45041</v>
      </c>
      <c r="E135">
        <v>828</v>
      </c>
      <c r="F135">
        <v>465</v>
      </c>
      <c r="G135">
        <v>363</v>
      </c>
      <c r="H135" t="s">
        <v>12</v>
      </c>
      <c r="I135" t="s">
        <v>13</v>
      </c>
    </row>
    <row r="136" spans="1:9" x14ac:dyDescent="0.35">
      <c r="A136" t="s">
        <v>230</v>
      </c>
      <c r="B136" t="s">
        <v>83</v>
      </c>
      <c r="C136" t="s">
        <v>16</v>
      </c>
      <c r="D136" s="1">
        <v>45179</v>
      </c>
      <c r="E136">
        <v>254</v>
      </c>
      <c r="F136">
        <v>25</v>
      </c>
      <c r="G136">
        <v>229</v>
      </c>
      <c r="H136" t="s">
        <v>12</v>
      </c>
      <c r="I136" t="s">
        <v>28</v>
      </c>
    </row>
    <row r="137" spans="1:9" x14ac:dyDescent="0.35">
      <c r="A137" t="s">
        <v>231</v>
      </c>
      <c r="B137" t="s">
        <v>202</v>
      </c>
      <c r="C137" t="s">
        <v>16</v>
      </c>
      <c r="D137" s="1">
        <v>45141</v>
      </c>
      <c r="E137">
        <v>674</v>
      </c>
      <c r="F137">
        <v>583</v>
      </c>
      <c r="G137">
        <v>91</v>
      </c>
      <c r="H137" t="s">
        <v>12</v>
      </c>
      <c r="I137" t="s">
        <v>45</v>
      </c>
    </row>
    <row r="138" spans="1:9" x14ac:dyDescent="0.35">
      <c r="A138" t="s">
        <v>232</v>
      </c>
      <c r="B138" t="s">
        <v>228</v>
      </c>
      <c r="C138" t="s">
        <v>27</v>
      </c>
      <c r="D138" s="1">
        <v>44940</v>
      </c>
      <c r="E138">
        <v>293</v>
      </c>
      <c r="F138">
        <v>195</v>
      </c>
      <c r="G138">
        <v>98</v>
      </c>
      <c r="H138" t="s">
        <v>12</v>
      </c>
      <c r="I138" t="s">
        <v>24</v>
      </c>
    </row>
    <row r="139" spans="1:9" x14ac:dyDescent="0.35">
      <c r="A139" t="s">
        <v>233</v>
      </c>
      <c r="B139" t="s">
        <v>161</v>
      </c>
      <c r="C139" t="s">
        <v>23</v>
      </c>
      <c r="D139" s="1">
        <v>45406</v>
      </c>
      <c r="E139">
        <v>579</v>
      </c>
      <c r="F139">
        <v>563</v>
      </c>
      <c r="G139">
        <v>16</v>
      </c>
      <c r="H139" t="s">
        <v>12</v>
      </c>
      <c r="I139" t="s">
        <v>13</v>
      </c>
    </row>
    <row r="140" spans="1:9" x14ac:dyDescent="0.35">
      <c r="A140" t="s">
        <v>234</v>
      </c>
      <c r="B140" t="s">
        <v>87</v>
      </c>
      <c r="C140" t="s">
        <v>11</v>
      </c>
      <c r="D140" s="1">
        <v>44935</v>
      </c>
      <c r="E140">
        <v>274</v>
      </c>
      <c r="F140">
        <v>68</v>
      </c>
      <c r="G140">
        <v>206</v>
      </c>
      <c r="H140" t="s">
        <v>12</v>
      </c>
      <c r="I140" t="s">
        <v>45</v>
      </c>
    </row>
    <row r="141" spans="1:9" x14ac:dyDescent="0.35">
      <c r="A141" t="s">
        <v>235</v>
      </c>
      <c r="B141" t="s">
        <v>70</v>
      </c>
      <c r="C141" t="s">
        <v>16</v>
      </c>
      <c r="D141" s="1">
        <v>45188</v>
      </c>
      <c r="E141">
        <v>273</v>
      </c>
      <c r="F141">
        <v>199</v>
      </c>
      <c r="G141">
        <v>74</v>
      </c>
      <c r="H141" t="s">
        <v>12</v>
      </c>
      <c r="I141" t="s">
        <v>32</v>
      </c>
    </row>
    <row r="142" spans="1:9" x14ac:dyDescent="0.35">
      <c r="A142" t="s">
        <v>236</v>
      </c>
      <c r="B142" t="s">
        <v>106</v>
      </c>
      <c r="C142" t="s">
        <v>31</v>
      </c>
      <c r="D142" s="1">
        <v>44986</v>
      </c>
      <c r="E142">
        <v>993</v>
      </c>
      <c r="F142">
        <v>278</v>
      </c>
      <c r="G142">
        <v>715</v>
      </c>
      <c r="H142" t="s">
        <v>12</v>
      </c>
      <c r="I142" t="s">
        <v>45</v>
      </c>
    </row>
    <row r="143" spans="1:9" x14ac:dyDescent="0.35">
      <c r="A143" t="s">
        <v>237</v>
      </c>
      <c r="B143" t="s">
        <v>238</v>
      </c>
      <c r="C143" t="s">
        <v>16</v>
      </c>
      <c r="D143" s="1">
        <v>45478</v>
      </c>
      <c r="E143">
        <v>896</v>
      </c>
      <c r="F143">
        <v>87</v>
      </c>
      <c r="G143">
        <v>809</v>
      </c>
      <c r="H143" t="s">
        <v>12</v>
      </c>
      <c r="I143" t="s">
        <v>45</v>
      </c>
    </row>
    <row r="144" spans="1:9" x14ac:dyDescent="0.35">
      <c r="A144" t="s">
        <v>239</v>
      </c>
      <c r="B144" t="s">
        <v>147</v>
      </c>
      <c r="C144" t="s">
        <v>23</v>
      </c>
      <c r="D144" s="1">
        <v>45238</v>
      </c>
      <c r="E144">
        <v>950</v>
      </c>
      <c r="F144">
        <v>563</v>
      </c>
      <c r="G144">
        <v>387</v>
      </c>
      <c r="H144" t="s">
        <v>12</v>
      </c>
      <c r="I144" t="s">
        <v>45</v>
      </c>
    </row>
    <row r="145" spans="1:9" x14ac:dyDescent="0.35">
      <c r="A145" t="s">
        <v>240</v>
      </c>
      <c r="B145" t="s">
        <v>184</v>
      </c>
      <c r="C145" t="s">
        <v>23</v>
      </c>
      <c r="D145" s="1">
        <v>45023</v>
      </c>
      <c r="E145">
        <v>255</v>
      </c>
      <c r="F145">
        <v>48</v>
      </c>
      <c r="G145">
        <v>207</v>
      </c>
      <c r="H145" t="s">
        <v>12</v>
      </c>
      <c r="I145" t="s">
        <v>28</v>
      </c>
    </row>
    <row r="146" spans="1:9" x14ac:dyDescent="0.35">
      <c r="A146" t="s">
        <v>241</v>
      </c>
      <c r="B146" t="s">
        <v>72</v>
      </c>
      <c r="C146" t="s">
        <v>27</v>
      </c>
      <c r="D146" s="1">
        <v>45059</v>
      </c>
      <c r="E146">
        <v>847</v>
      </c>
      <c r="F146">
        <v>643</v>
      </c>
      <c r="G146">
        <v>204</v>
      </c>
      <c r="H146" t="s">
        <v>12</v>
      </c>
      <c r="I146" t="s">
        <v>32</v>
      </c>
    </row>
    <row r="147" spans="1:9" x14ac:dyDescent="0.35">
      <c r="A147" t="s">
        <v>242</v>
      </c>
      <c r="B147" t="s">
        <v>184</v>
      </c>
      <c r="C147" t="s">
        <v>16</v>
      </c>
      <c r="D147" s="1">
        <v>45359</v>
      </c>
      <c r="E147">
        <v>651</v>
      </c>
      <c r="F147">
        <v>191</v>
      </c>
      <c r="G147">
        <v>460</v>
      </c>
      <c r="H147" t="s">
        <v>12</v>
      </c>
      <c r="I147" t="s">
        <v>28</v>
      </c>
    </row>
    <row r="148" spans="1:9" x14ac:dyDescent="0.35">
      <c r="A148" t="s">
        <v>243</v>
      </c>
      <c r="B148" t="s">
        <v>244</v>
      </c>
      <c r="C148" t="s">
        <v>11</v>
      </c>
      <c r="D148" s="1">
        <v>45190</v>
      </c>
      <c r="E148">
        <v>929</v>
      </c>
      <c r="F148">
        <v>510</v>
      </c>
      <c r="G148">
        <v>419</v>
      </c>
      <c r="H148" t="s">
        <v>12</v>
      </c>
      <c r="I148" t="s">
        <v>32</v>
      </c>
    </row>
    <row r="149" spans="1:9" x14ac:dyDescent="0.35">
      <c r="A149" t="s">
        <v>245</v>
      </c>
      <c r="B149" t="s">
        <v>155</v>
      </c>
      <c r="C149" t="s">
        <v>27</v>
      </c>
      <c r="D149" s="1">
        <v>45189</v>
      </c>
      <c r="E149">
        <v>214</v>
      </c>
      <c r="F149">
        <v>118</v>
      </c>
      <c r="G149">
        <v>96</v>
      </c>
      <c r="H149" t="s">
        <v>12</v>
      </c>
      <c r="I149" t="s">
        <v>28</v>
      </c>
    </row>
    <row r="150" spans="1:9" x14ac:dyDescent="0.35">
      <c r="A150" t="s">
        <v>246</v>
      </c>
      <c r="B150" t="s">
        <v>143</v>
      </c>
      <c r="C150" t="s">
        <v>16</v>
      </c>
      <c r="D150" s="1">
        <v>45097</v>
      </c>
      <c r="E150">
        <v>261</v>
      </c>
      <c r="F150">
        <v>104</v>
      </c>
      <c r="G150">
        <v>157</v>
      </c>
      <c r="H150" t="s">
        <v>12</v>
      </c>
      <c r="I150" t="s">
        <v>45</v>
      </c>
    </row>
    <row r="151" spans="1:9" x14ac:dyDescent="0.35">
      <c r="A151" t="s">
        <v>247</v>
      </c>
      <c r="B151" t="s">
        <v>83</v>
      </c>
      <c r="C151" t="s">
        <v>11</v>
      </c>
      <c r="D151" s="1">
        <v>45120</v>
      </c>
      <c r="E151">
        <v>771</v>
      </c>
      <c r="F151">
        <v>200</v>
      </c>
      <c r="G151">
        <v>571</v>
      </c>
      <c r="H151" t="s">
        <v>12</v>
      </c>
      <c r="I151" t="s">
        <v>28</v>
      </c>
    </row>
    <row r="152" spans="1:9" x14ac:dyDescent="0.35">
      <c r="A152" t="s">
        <v>248</v>
      </c>
      <c r="B152" t="s">
        <v>54</v>
      </c>
      <c r="C152" t="s">
        <v>31</v>
      </c>
      <c r="D152" s="1">
        <v>45166</v>
      </c>
      <c r="E152">
        <v>196</v>
      </c>
      <c r="F152">
        <v>78</v>
      </c>
      <c r="G152">
        <v>118</v>
      </c>
      <c r="H152" t="s">
        <v>12</v>
      </c>
      <c r="I152" t="s">
        <v>45</v>
      </c>
    </row>
    <row r="153" spans="1:9" x14ac:dyDescent="0.35">
      <c r="A153" t="s">
        <v>249</v>
      </c>
      <c r="B153" t="s">
        <v>56</v>
      </c>
      <c r="C153" t="s">
        <v>31</v>
      </c>
      <c r="D153" s="1">
        <v>45110</v>
      </c>
      <c r="E153">
        <v>766</v>
      </c>
      <c r="F153">
        <v>747</v>
      </c>
      <c r="G153">
        <v>19</v>
      </c>
      <c r="H153" t="s">
        <v>12</v>
      </c>
      <c r="I153" t="s">
        <v>20</v>
      </c>
    </row>
    <row r="154" spans="1:9" x14ac:dyDescent="0.35">
      <c r="A154" t="s">
        <v>250</v>
      </c>
      <c r="B154" t="s">
        <v>89</v>
      </c>
      <c r="C154" t="s">
        <v>19</v>
      </c>
      <c r="D154" s="1">
        <v>44998</v>
      </c>
      <c r="E154">
        <v>696</v>
      </c>
      <c r="F154">
        <v>63</v>
      </c>
      <c r="G154">
        <v>633</v>
      </c>
      <c r="H154" t="s">
        <v>12</v>
      </c>
      <c r="I154" t="s">
        <v>45</v>
      </c>
    </row>
    <row r="155" spans="1:9" x14ac:dyDescent="0.35">
      <c r="A155" t="s">
        <v>251</v>
      </c>
      <c r="B155" t="s">
        <v>83</v>
      </c>
      <c r="C155" t="s">
        <v>23</v>
      </c>
      <c r="D155" s="1">
        <v>45383</v>
      </c>
      <c r="E155">
        <v>566</v>
      </c>
      <c r="F155">
        <v>278</v>
      </c>
      <c r="G155">
        <v>288</v>
      </c>
      <c r="H155" t="s">
        <v>12</v>
      </c>
      <c r="I155" t="s">
        <v>20</v>
      </c>
    </row>
    <row r="156" spans="1:9" x14ac:dyDescent="0.35">
      <c r="A156" t="s">
        <v>252</v>
      </c>
      <c r="B156" t="s">
        <v>99</v>
      </c>
      <c r="C156" t="s">
        <v>23</v>
      </c>
      <c r="D156" s="1">
        <v>45124</v>
      </c>
      <c r="E156">
        <v>357</v>
      </c>
      <c r="F156">
        <v>14</v>
      </c>
      <c r="G156">
        <v>343</v>
      </c>
      <c r="H156" t="s">
        <v>12</v>
      </c>
      <c r="I156" t="s">
        <v>20</v>
      </c>
    </row>
    <row r="157" spans="1:9" x14ac:dyDescent="0.35">
      <c r="A157" t="s">
        <v>253</v>
      </c>
      <c r="B157" t="s">
        <v>254</v>
      </c>
      <c r="C157" t="s">
        <v>11</v>
      </c>
      <c r="D157" s="1">
        <v>45247</v>
      </c>
      <c r="E157">
        <v>317</v>
      </c>
      <c r="F157">
        <v>167</v>
      </c>
      <c r="G157">
        <v>150</v>
      </c>
      <c r="H157" t="s">
        <v>12</v>
      </c>
      <c r="I157" t="s">
        <v>45</v>
      </c>
    </row>
    <row r="158" spans="1:9" x14ac:dyDescent="0.35">
      <c r="A158" t="s">
        <v>255</v>
      </c>
      <c r="B158" t="s">
        <v>96</v>
      </c>
      <c r="C158" t="s">
        <v>19</v>
      </c>
      <c r="D158" s="1">
        <v>45261</v>
      </c>
      <c r="E158">
        <v>340</v>
      </c>
      <c r="F158">
        <v>227</v>
      </c>
      <c r="G158">
        <v>113</v>
      </c>
      <c r="H158" t="s">
        <v>12</v>
      </c>
      <c r="I158" t="s">
        <v>13</v>
      </c>
    </row>
    <row r="159" spans="1:9" x14ac:dyDescent="0.35">
      <c r="A159" t="s">
        <v>256</v>
      </c>
      <c r="B159" t="s">
        <v>118</v>
      </c>
      <c r="C159" t="s">
        <v>27</v>
      </c>
      <c r="D159" s="1">
        <v>45064</v>
      </c>
      <c r="E159">
        <v>699</v>
      </c>
      <c r="F159">
        <v>432</v>
      </c>
      <c r="G159">
        <v>267</v>
      </c>
      <c r="H159" t="s">
        <v>12</v>
      </c>
      <c r="I159" t="s">
        <v>45</v>
      </c>
    </row>
    <row r="160" spans="1:9" x14ac:dyDescent="0.35">
      <c r="A160" t="s">
        <v>257</v>
      </c>
      <c r="B160" t="s">
        <v>127</v>
      </c>
      <c r="C160" t="s">
        <v>16</v>
      </c>
      <c r="D160" s="1">
        <v>45129</v>
      </c>
      <c r="E160">
        <v>297</v>
      </c>
      <c r="F160">
        <v>27</v>
      </c>
      <c r="G160">
        <v>270</v>
      </c>
      <c r="H160" t="s">
        <v>12</v>
      </c>
      <c r="I160" t="s">
        <v>32</v>
      </c>
    </row>
    <row r="161" spans="1:9" x14ac:dyDescent="0.35">
      <c r="A161" t="s">
        <v>258</v>
      </c>
      <c r="B161" t="s">
        <v>259</v>
      </c>
      <c r="C161" t="s">
        <v>19</v>
      </c>
      <c r="D161" s="1">
        <v>44946</v>
      </c>
      <c r="E161">
        <v>325</v>
      </c>
      <c r="F161">
        <v>148</v>
      </c>
      <c r="G161">
        <v>177</v>
      </c>
      <c r="H161" t="s">
        <v>12</v>
      </c>
      <c r="I161" t="s">
        <v>45</v>
      </c>
    </row>
    <row r="162" spans="1:9" x14ac:dyDescent="0.35">
      <c r="A162" t="s">
        <v>260</v>
      </c>
      <c r="B162" t="s">
        <v>18</v>
      </c>
      <c r="C162" t="s">
        <v>16</v>
      </c>
      <c r="D162" s="1">
        <v>45229</v>
      </c>
      <c r="E162">
        <v>467</v>
      </c>
      <c r="F162">
        <v>263</v>
      </c>
      <c r="G162">
        <v>204</v>
      </c>
      <c r="H162" t="s">
        <v>12</v>
      </c>
      <c r="I162" t="s">
        <v>28</v>
      </c>
    </row>
    <row r="163" spans="1:9" x14ac:dyDescent="0.35">
      <c r="A163" t="s">
        <v>261</v>
      </c>
      <c r="B163" t="s">
        <v>184</v>
      </c>
      <c r="C163" t="s">
        <v>31</v>
      </c>
      <c r="D163" s="1">
        <v>45302</v>
      </c>
      <c r="E163">
        <v>958</v>
      </c>
      <c r="F163">
        <v>299</v>
      </c>
      <c r="G163">
        <v>659</v>
      </c>
      <c r="H163" t="s">
        <v>12</v>
      </c>
      <c r="I163" t="s">
        <v>28</v>
      </c>
    </row>
    <row r="164" spans="1:9" x14ac:dyDescent="0.35">
      <c r="A164" t="s">
        <v>262</v>
      </c>
      <c r="B164" t="s">
        <v>263</v>
      </c>
      <c r="C164" t="s">
        <v>16</v>
      </c>
      <c r="D164" s="1">
        <v>45191</v>
      </c>
      <c r="E164">
        <v>860</v>
      </c>
      <c r="F164">
        <v>772</v>
      </c>
      <c r="G164">
        <v>88</v>
      </c>
      <c r="H164" t="s">
        <v>12</v>
      </c>
      <c r="I164" t="s">
        <v>13</v>
      </c>
    </row>
    <row r="165" spans="1:9" x14ac:dyDescent="0.35">
      <c r="A165" t="s">
        <v>264</v>
      </c>
      <c r="B165" t="s">
        <v>265</v>
      </c>
      <c r="C165" t="s">
        <v>16</v>
      </c>
      <c r="D165" s="1">
        <v>45050</v>
      </c>
      <c r="E165">
        <v>200</v>
      </c>
      <c r="F165">
        <v>49</v>
      </c>
      <c r="G165">
        <v>151</v>
      </c>
      <c r="H165" t="s">
        <v>12</v>
      </c>
      <c r="I165" t="s">
        <v>20</v>
      </c>
    </row>
    <row r="166" spans="1:9" x14ac:dyDescent="0.35">
      <c r="A166" t="s">
        <v>266</v>
      </c>
      <c r="B166" t="s">
        <v>10</v>
      </c>
      <c r="C166" t="s">
        <v>11</v>
      </c>
      <c r="D166" s="1">
        <v>45138</v>
      </c>
      <c r="E166">
        <v>187</v>
      </c>
      <c r="F166">
        <v>68</v>
      </c>
      <c r="G166">
        <v>119</v>
      </c>
      <c r="H166" t="s">
        <v>12</v>
      </c>
      <c r="I166" t="s">
        <v>13</v>
      </c>
    </row>
    <row r="167" spans="1:9" x14ac:dyDescent="0.35">
      <c r="A167" t="s">
        <v>267</v>
      </c>
      <c r="B167" t="s">
        <v>130</v>
      </c>
      <c r="C167" t="s">
        <v>31</v>
      </c>
      <c r="D167" s="1">
        <v>45439</v>
      </c>
      <c r="E167">
        <v>377</v>
      </c>
      <c r="F167">
        <v>26</v>
      </c>
      <c r="G167">
        <v>351</v>
      </c>
      <c r="H167" t="s">
        <v>12</v>
      </c>
      <c r="I167" t="s">
        <v>20</v>
      </c>
    </row>
    <row r="168" spans="1:9" x14ac:dyDescent="0.35">
      <c r="A168" t="s">
        <v>268</v>
      </c>
      <c r="B168" t="s">
        <v>269</v>
      </c>
      <c r="C168" t="s">
        <v>16</v>
      </c>
      <c r="D168" s="1">
        <v>45308</v>
      </c>
      <c r="E168">
        <v>534</v>
      </c>
      <c r="F168">
        <v>314</v>
      </c>
      <c r="G168">
        <v>220</v>
      </c>
      <c r="H168" t="s">
        <v>12</v>
      </c>
      <c r="I168" t="s">
        <v>24</v>
      </c>
    </row>
    <row r="169" spans="1:9" x14ac:dyDescent="0.35">
      <c r="A169" t="s">
        <v>270</v>
      </c>
      <c r="B169" t="s">
        <v>93</v>
      </c>
      <c r="C169" t="s">
        <v>11</v>
      </c>
      <c r="D169" s="1">
        <v>45000</v>
      </c>
      <c r="E169">
        <v>709</v>
      </c>
      <c r="F169">
        <v>239</v>
      </c>
      <c r="G169">
        <v>470</v>
      </c>
      <c r="H169" t="s">
        <v>12</v>
      </c>
      <c r="I169" t="s">
        <v>20</v>
      </c>
    </row>
    <row r="170" spans="1:9" x14ac:dyDescent="0.35">
      <c r="A170" t="s">
        <v>271</v>
      </c>
      <c r="B170" t="s">
        <v>18</v>
      </c>
      <c r="C170" t="s">
        <v>23</v>
      </c>
      <c r="D170" s="1">
        <v>45397</v>
      </c>
      <c r="E170">
        <v>785</v>
      </c>
      <c r="F170">
        <v>253</v>
      </c>
      <c r="G170">
        <v>532</v>
      </c>
      <c r="H170" t="s">
        <v>12</v>
      </c>
      <c r="I170" t="s">
        <v>24</v>
      </c>
    </row>
    <row r="171" spans="1:9" x14ac:dyDescent="0.35">
      <c r="A171" t="s">
        <v>272</v>
      </c>
      <c r="B171" t="s">
        <v>221</v>
      </c>
      <c r="C171" t="s">
        <v>19</v>
      </c>
      <c r="D171" s="1">
        <v>45151</v>
      </c>
      <c r="E171">
        <v>919</v>
      </c>
      <c r="F171">
        <v>115</v>
      </c>
      <c r="G171">
        <v>804</v>
      </c>
      <c r="H171" t="s">
        <v>12</v>
      </c>
      <c r="I171" t="s">
        <v>20</v>
      </c>
    </row>
    <row r="172" spans="1:9" x14ac:dyDescent="0.35">
      <c r="A172" t="s">
        <v>273</v>
      </c>
      <c r="B172" t="s">
        <v>87</v>
      </c>
      <c r="C172" t="s">
        <v>19</v>
      </c>
      <c r="D172" s="1">
        <v>45279</v>
      </c>
      <c r="E172">
        <v>713</v>
      </c>
      <c r="F172">
        <v>345</v>
      </c>
      <c r="G172">
        <v>368</v>
      </c>
      <c r="H172" t="s">
        <v>12</v>
      </c>
      <c r="I172" t="s">
        <v>45</v>
      </c>
    </row>
    <row r="173" spans="1:9" x14ac:dyDescent="0.35">
      <c r="A173" t="s">
        <v>274</v>
      </c>
      <c r="B173" t="s">
        <v>44</v>
      </c>
      <c r="C173" t="s">
        <v>16</v>
      </c>
      <c r="D173" s="1">
        <v>45042</v>
      </c>
      <c r="E173">
        <v>571</v>
      </c>
      <c r="F173">
        <v>298</v>
      </c>
      <c r="G173">
        <v>273</v>
      </c>
      <c r="H173" t="s">
        <v>12</v>
      </c>
      <c r="I173" t="s">
        <v>24</v>
      </c>
    </row>
    <row r="174" spans="1:9" x14ac:dyDescent="0.35">
      <c r="A174" t="s">
        <v>275</v>
      </c>
      <c r="B174" t="s">
        <v>276</v>
      </c>
      <c r="C174" t="s">
        <v>31</v>
      </c>
      <c r="D174" s="1">
        <v>45141</v>
      </c>
      <c r="E174">
        <v>597</v>
      </c>
      <c r="F174">
        <v>131</v>
      </c>
      <c r="G174">
        <v>466</v>
      </c>
      <c r="H174" t="s">
        <v>12</v>
      </c>
      <c r="I174" t="s">
        <v>20</v>
      </c>
    </row>
    <row r="175" spans="1:9" x14ac:dyDescent="0.35">
      <c r="A175" t="s">
        <v>277</v>
      </c>
      <c r="B175" t="s">
        <v>87</v>
      </c>
      <c r="C175" t="s">
        <v>19</v>
      </c>
      <c r="D175" s="1">
        <v>45208</v>
      </c>
      <c r="E175">
        <v>591</v>
      </c>
      <c r="F175">
        <v>240</v>
      </c>
      <c r="G175">
        <v>351</v>
      </c>
      <c r="H175" t="s">
        <v>12</v>
      </c>
      <c r="I175" t="s">
        <v>45</v>
      </c>
    </row>
    <row r="176" spans="1:9" x14ac:dyDescent="0.35">
      <c r="A176" t="s">
        <v>278</v>
      </c>
      <c r="B176" t="s">
        <v>61</v>
      </c>
      <c r="C176" t="s">
        <v>19</v>
      </c>
      <c r="D176" s="1">
        <v>45210</v>
      </c>
      <c r="E176">
        <v>164</v>
      </c>
      <c r="F176">
        <v>118</v>
      </c>
      <c r="G176">
        <v>46</v>
      </c>
      <c r="H176" t="s">
        <v>12</v>
      </c>
      <c r="I176" t="s">
        <v>32</v>
      </c>
    </row>
    <row r="177" spans="1:9" x14ac:dyDescent="0.35">
      <c r="A177" t="s">
        <v>279</v>
      </c>
      <c r="B177" t="s">
        <v>280</v>
      </c>
      <c r="C177" t="s">
        <v>31</v>
      </c>
      <c r="D177" s="1">
        <v>45038</v>
      </c>
      <c r="E177">
        <v>326</v>
      </c>
      <c r="F177">
        <v>40</v>
      </c>
      <c r="G177">
        <v>286</v>
      </c>
      <c r="H177" t="s">
        <v>12</v>
      </c>
      <c r="I177" t="s">
        <v>24</v>
      </c>
    </row>
    <row r="178" spans="1:9" x14ac:dyDescent="0.35">
      <c r="A178" t="s">
        <v>281</v>
      </c>
      <c r="B178" t="s">
        <v>44</v>
      </c>
      <c r="C178" t="s">
        <v>31</v>
      </c>
      <c r="D178" s="1">
        <v>45073</v>
      </c>
      <c r="E178">
        <v>764</v>
      </c>
      <c r="F178">
        <v>257</v>
      </c>
      <c r="G178">
        <v>507</v>
      </c>
      <c r="H178" t="s">
        <v>12</v>
      </c>
      <c r="I178" t="s">
        <v>13</v>
      </c>
    </row>
    <row r="179" spans="1:9" x14ac:dyDescent="0.35">
      <c r="A179" t="s">
        <v>282</v>
      </c>
      <c r="B179" t="s">
        <v>189</v>
      </c>
      <c r="C179" t="s">
        <v>27</v>
      </c>
      <c r="D179" s="1">
        <v>45495</v>
      </c>
      <c r="E179">
        <v>543</v>
      </c>
      <c r="F179">
        <v>388</v>
      </c>
      <c r="G179">
        <v>155</v>
      </c>
      <c r="H179" t="s">
        <v>12</v>
      </c>
      <c r="I179" t="s">
        <v>45</v>
      </c>
    </row>
    <row r="180" spans="1:9" x14ac:dyDescent="0.35">
      <c r="A180" t="s">
        <v>283</v>
      </c>
      <c r="B180" t="s">
        <v>125</v>
      </c>
      <c r="C180" t="s">
        <v>27</v>
      </c>
      <c r="D180" s="1">
        <v>45029</v>
      </c>
      <c r="E180">
        <v>306</v>
      </c>
      <c r="F180">
        <v>246</v>
      </c>
      <c r="G180">
        <v>60</v>
      </c>
      <c r="H180" t="s">
        <v>12</v>
      </c>
      <c r="I180" t="s">
        <v>28</v>
      </c>
    </row>
    <row r="181" spans="1:9" x14ac:dyDescent="0.35">
      <c r="A181" t="s">
        <v>284</v>
      </c>
      <c r="B181" t="s">
        <v>157</v>
      </c>
      <c r="C181" t="s">
        <v>23</v>
      </c>
      <c r="D181" s="1">
        <v>45265</v>
      </c>
      <c r="E181">
        <v>596</v>
      </c>
      <c r="F181">
        <v>167</v>
      </c>
      <c r="G181">
        <v>429</v>
      </c>
      <c r="H181" t="s">
        <v>12</v>
      </c>
      <c r="I181" t="s">
        <v>24</v>
      </c>
    </row>
    <row r="182" spans="1:9" x14ac:dyDescent="0.35">
      <c r="A182" t="s">
        <v>285</v>
      </c>
      <c r="B182" t="s">
        <v>136</v>
      </c>
      <c r="C182" t="s">
        <v>16</v>
      </c>
      <c r="D182" s="1">
        <v>45360</v>
      </c>
      <c r="E182">
        <v>838</v>
      </c>
      <c r="F182">
        <v>782</v>
      </c>
      <c r="G182">
        <v>56</v>
      </c>
      <c r="H182" t="s">
        <v>12</v>
      </c>
      <c r="I182" t="s">
        <v>32</v>
      </c>
    </row>
    <row r="183" spans="1:9" x14ac:dyDescent="0.35">
      <c r="A183" t="s">
        <v>286</v>
      </c>
      <c r="B183" t="s">
        <v>221</v>
      </c>
      <c r="C183" t="s">
        <v>27</v>
      </c>
      <c r="D183" s="1">
        <v>45329</v>
      </c>
      <c r="E183">
        <v>925</v>
      </c>
      <c r="F183">
        <v>884</v>
      </c>
      <c r="G183">
        <v>41</v>
      </c>
      <c r="H183" t="s">
        <v>12</v>
      </c>
      <c r="I183" t="s">
        <v>45</v>
      </c>
    </row>
    <row r="184" spans="1:9" x14ac:dyDescent="0.35">
      <c r="A184" t="s">
        <v>287</v>
      </c>
      <c r="B184" t="s">
        <v>288</v>
      </c>
      <c r="C184" t="s">
        <v>23</v>
      </c>
      <c r="D184" s="1">
        <v>45071</v>
      </c>
      <c r="E184">
        <v>718</v>
      </c>
      <c r="F184">
        <v>1</v>
      </c>
      <c r="G184">
        <v>717</v>
      </c>
      <c r="H184" t="s">
        <v>12</v>
      </c>
      <c r="I184" t="s">
        <v>32</v>
      </c>
    </row>
    <row r="185" spans="1:9" x14ac:dyDescent="0.35">
      <c r="A185" t="s">
        <v>289</v>
      </c>
      <c r="B185" t="s">
        <v>26</v>
      </c>
      <c r="C185" t="s">
        <v>16</v>
      </c>
      <c r="D185" s="1">
        <v>45445</v>
      </c>
      <c r="E185">
        <v>641</v>
      </c>
      <c r="F185">
        <v>293</v>
      </c>
      <c r="G185">
        <v>348</v>
      </c>
      <c r="H185" t="s">
        <v>12</v>
      </c>
      <c r="I185" t="s">
        <v>20</v>
      </c>
    </row>
    <row r="186" spans="1:9" x14ac:dyDescent="0.35">
      <c r="A186" t="s">
        <v>290</v>
      </c>
      <c r="B186" t="s">
        <v>186</v>
      </c>
      <c r="C186" t="s">
        <v>27</v>
      </c>
      <c r="D186" s="1">
        <v>45001</v>
      </c>
      <c r="E186">
        <v>336</v>
      </c>
      <c r="F186">
        <v>224</v>
      </c>
      <c r="G186">
        <v>112</v>
      </c>
      <c r="H186" t="s">
        <v>12</v>
      </c>
      <c r="I186" t="s">
        <v>20</v>
      </c>
    </row>
    <row r="187" spans="1:9" x14ac:dyDescent="0.35">
      <c r="A187" t="s">
        <v>291</v>
      </c>
      <c r="B187" t="s">
        <v>186</v>
      </c>
      <c r="C187" t="s">
        <v>19</v>
      </c>
      <c r="D187" s="1">
        <v>45406</v>
      </c>
      <c r="E187">
        <v>244</v>
      </c>
      <c r="F187">
        <v>50</v>
      </c>
      <c r="G187">
        <v>194</v>
      </c>
      <c r="H187" t="s">
        <v>12</v>
      </c>
      <c r="I187" t="s">
        <v>45</v>
      </c>
    </row>
    <row r="188" spans="1:9" x14ac:dyDescent="0.35">
      <c r="A188" t="s">
        <v>292</v>
      </c>
      <c r="B188" t="s">
        <v>195</v>
      </c>
      <c r="C188" t="s">
        <v>23</v>
      </c>
      <c r="D188" s="1">
        <v>45376</v>
      </c>
      <c r="E188">
        <v>286</v>
      </c>
      <c r="F188">
        <v>122</v>
      </c>
      <c r="G188">
        <v>164</v>
      </c>
      <c r="H188" t="s">
        <v>12</v>
      </c>
      <c r="I188" t="s">
        <v>13</v>
      </c>
    </row>
    <row r="189" spans="1:9" x14ac:dyDescent="0.35">
      <c r="A189" t="s">
        <v>293</v>
      </c>
      <c r="B189" t="s">
        <v>269</v>
      </c>
      <c r="C189" t="s">
        <v>31</v>
      </c>
      <c r="D189" s="1">
        <v>45034</v>
      </c>
      <c r="E189">
        <v>652</v>
      </c>
      <c r="F189">
        <v>638</v>
      </c>
      <c r="G189">
        <v>14</v>
      </c>
      <c r="H189" t="s">
        <v>12</v>
      </c>
      <c r="I189" t="s">
        <v>45</v>
      </c>
    </row>
    <row r="190" spans="1:9" x14ac:dyDescent="0.35">
      <c r="A190" t="s">
        <v>294</v>
      </c>
      <c r="B190" t="s">
        <v>30</v>
      </c>
      <c r="C190" t="s">
        <v>19</v>
      </c>
      <c r="D190" s="1">
        <v>45253</v>
      </c>
      <c r="E190">
        <v>443</v>
      </c>
      <c r="F190">
        <v>343</v>
      </c>
      <c r="G190">
        <v>100</v>
      </c>
      <c r="H190" t="s">
        <v>12</v>
      </c>
      <c r="I190" t="s">
        <v>45</v>
      </c>
    </row>
    <row r="191" spans="1:9" x14ac:dyDescent="0.35">
      <c r="A191" t="s">
        <v>295</v>
      </c>
      <c r="B191" t="s">
        <v>130</v>
      </c>
      <c r="C191" t="s">
        <v>11</v>
      </c>
      <c r="D191" s="1">
        <v>45139</v>
      </c>
      <c r="E191">
        <v>324</v>
      </c>
      <c r="F191">
        <v>318</v>
      </c>
      <c r="G191">
        <v>6</v>
      </c>
      <c r="H191" t="s">
        <v>12</v>
      </c>
      <c r="I191" t="s">
        <v>24</v>
      </c>
    </row>
    <row r="192" spans="1:9" x14ac:dyDescent="0.35">
      <c r="A192" t="s">
        <v>296</v>
      </c>
      <c r="B192" t="s">
        <v>202</v>
      </c>
      <c r="C192" t="s">
        <v>11</v>
      </c>
      <c r="D192" s="1">
        <v>45062</v>
      </c>
      <c r="E192">
        <v>560</v>
      </c>
      <c r="F192">
        <v>537</v>
      </c>
      <c r="G192">
        <v>23</v>
      </c>
      <c r="H192" t="s">
        <v>12</v>
      </c>
      <c r="I192" t="s">
        <v>32</v>
      </c>
    </row>
    <row r="193" spans="1:9" x14ac:dyDescent="0.35">
      <c r="A193" t="s">
        <v>297</v>
      </c>
      <c r="B193" t="s">
        <v>10</v>
      </c>
      <c r="C193" t="s">
        <v>11</v>
      </c>
      <c r="D193" s="1">
        <v>45305</v>
      </c>
      <c r="E193">
        <v>686</v>
      </c>
      <c r="F193">
        <v>622</v>
      </c>
      <c r="G193">
        <v>64</v>
      </c>
      <c r="H193" t="s">
        <v>12</v>
      </c>
      <c r="I193" t="s">
        <v>32</v>
      </c>
    </row>
    <row r="194" spans="1:9" x14ac:dyDescent="0.35">
      <c r="A194" t="s">
        <v>298</v>
      </c>
      <c r="B194" t="s">
        <v>228</v>
      </c>
      <c r="C194" t="s">
        <v>16</v>
      </c>
      <c r="D194" s="1">
        <v>45477</v>
      </c>
      <c r="E194">
        <v>878</v>
      </c>
      <c r="F194">
        <v>134</v>
      </c>
      <c r="G194">
        <v>744</v>
      </c>
      <c r="H194" t="s">
        <v>12</v>
      </c>
      <c r="I194" t="s">
        <v>20</v>
      </c>
    </row>
    <row r="195" spans="1:9" x14ac:dyDescent="0.35">
      <c r="A195" t="s">
        <v>299</v>
      </c>
      <c r="B195" t="s">
        <v>202</v>
      </c>
      <c r="C195" t="s">
        <v>16</v>
      </c>
      <c r="D195" s="1">
        <v>45436</v>
      </c>
      <c r="E195">
        <v>676</v>
      </c>
      <c r="F195">
        <v>264</v>
      </c>
      <c r="G195">
        <v>412</v>
      </c>
      <c r="H195" t="s">
        <v>12</v>
      </c>
      <c r="I195" t="s">
        <v>24</v>
      </c>
    </row>
    <row r="196" spans="1:9" x14ac:dyDescent="0.35">
      <c r="A196" t="s">
        <v>300</v>
      </c>
      <c r="B196" t="s">
        <v>301</v>
      </c>
      <c r="C196" t="s">
        <v>23</v>
      </c>
      <c r="D196" s="1">
        <v>45409</v>
      </c>
      <c r="E196">
        <v>342</v>
      </c>
      <c r="F196">
        <v>141</v>
      </c>
      <c r="G196">
        <v>201</v>
      </c>
      <c r="H196" t="s">
        <v>12</v>
      </c>
      <c r="I196" t="s">
        <v>20</v>
      </c>
    </row>
    <row r="197" spans="1:9" x14ac:dyDescent="0.35">
      <c r="A197" t="s">
        <v>302</v>
      </c>
      <c r="B197" t="s">
        <v>136</v>
      </c>
      <c r="C197" t="s">
        <v>19</v>
      </c>
      <c r="D197" s="1">
        <v>45407</v>
      </c>
      <c r="E197">
        <v>654</v>
      </c>
      <c r="F197">
        <v>525</v>
      </c>
      <c r="G197">
        <v>129</v>
      </c>
      <c r="H197" t="s">
        <v>12</v>
      </c>
      <c r="I197" t="s">
        <v>13</v>
      </c>
    </row>
    <row r="198" spans="1:9" x14ac:dyDescent="0.35">
      <c r="A198" t="s">
        <v>303</v>
      </c>
      <c r="B198" t="s">
        <v>48</v>
      </c>
      <c r="C198" t="s">
        <v>31</v>
      </c>
      <c r="D198" s="1">
        <v>45075</v>
      </c>
      <c r="E198">
        <v>339</v>
      </c>
      <c r="F198">
        <v>92</v>
      </c>
      <c r="G198">
        <v>247</v>
      </c>
      <c r="H198" t="s">
        <v>12</v>
      </c>
      <c r="I198" t="s">
        <v>13</v>
      </c>
    </row>
    <row r="199" spans="1:9" x14ac:dyDescent="0.35">
      <c r="A199" t="s">
        <v>304</v>
      </c>
      <c r="B199" t="s">
        <v>89</v>
      </c>
      <c r="C199" t="s">
        <v>27</v>
      </c>
      <c r="D199" s="1">
        <v>45294</v>
      </c>
      <c r="E199">
        <v>177</v>
      </c>
      <c r="F199">
        <v>51</v>
      </c>
      <c r="G199">
        <v>126</v>
      </c>
      <c r="H199" t="s">
        <v>12</v>
      </c>
      <c r="I199" t="s">
        <v>20</v>
      </c>
    </row>
    <row r="200" spans="1:9" x14ac:dyDescent="0.35">
      <c r="A200" t="s">
        <v>305</v>
      </c>
      <c r="B200" t="s">
        <v>155</v>
      </c>
      <c r="C200" t="s">
        <v>23</v>
      </c>
      <c r="D200" s="1">
        <v>45093</v>
      </c>
      <c r="E200">
        <v>527</v>
      </c>
      <c r="F200">
        <v>389</v>
      </c>
      <c r="G200">
        <v>138</v>
      </c>
      <c r="H200" t="s">
        <v>12</v>
      </c>
      <c r="I200" t="s">
        <v>45</v>
      </c>
    </row>
    <row r="201" spans="1:9" x14ac:dyDescent="0.35">
      <c r="A201" t="s">
        <v>306</v>
      </c>
      <c r="B201" t="s">
        <v>36</v>
      </c>
      <c r="C201" t="s">
        <v>16</v>
      </c>
      <c r="D201" s="1">
        <v>45200</v>
      </c>
      <c r="E201">
        <v>769</v>
      </c>
      <c r="F201">
        <v>731</v>
      </c>
      <c r="G201">
        <v>38</v>
      </c>
      <c r="H201" t="s">
        <v>12</v>
      </c>
      <c r="I201" t="s">
        <v>24</v>
      </c>
    </row>
    <row r="202" spans="1:9" x14ac:dyDescent="0.35">
      <c r="A202" t="s">
        <v>307</v>
      </c>
      <c r="B202" t="s">
        <v>238</v>
      </c>
      <c r="C202" t="s">
        <v>11</v>
      </c>
      <c r="D202" s="1">
        <v>45415</v>
      </c>
      <c r="E202">
        <v>178</v>
      </c>
      <c r="F202">
        <v>138</v>
      </c>
      <c r="G202">
        <v>40</v>
      </c>
      <c r="H202" t="s">
        <v>12</v>
      </c>
      <c r="I202" t="s">
        <v>32</v>
      </c>
    </row>
    <row r="203" spans="1:9" x14ac:dyDescent="0.35">
      <c r="A203" t="s">
        <v>308</v>
      </c>
      <c r="B203" t="s">
        <v>78</v>
      </c>
      <c r="C203" t="s">
        <v>23</v>
      </c>
      <c r="D203" s="1">
        <v>44970</v>
      </c>
      <c r="E203">
        <v>391</v>
      </c>
      <c r="F203">
        <v>83</v>
      </c>
      <c r="G203">
        <v>308</v>
      </c>
      <c r="H203" t="s">
        <v>12</v>
      </c>
      <c r="I203" t="s">
        <v>20</v>
      </c>
    </row>
    <row r="204" spans="1:9" x14ac:dyDescent="0.35">
      <c r="A204" t="s">
        <v>309</v>
      </c>
      <c r="B204" t="s">
        <v>50</v>
      </c>
      <c r="C204" t="s">
        <v>27</v>
      </c>
      <c r="D204" s="1">
        <v>45371</v>
      </c>
      <c r="E204">
        <v>180</v>
      </c>
      <c r="F204">
        <v>73</v>
      </c>
      <c r="G204">
        <v>107</v>
      </c>
      <c r="H204" t="s">
        <v>12</v>
      </c>
      <c r="I204" t="s">
        <v>28</v>
      </c>
    </row>
    <row r="205" spans="1:9" x14ac:dyDescent="0.35">
      <c r="A205" t="s">
        <v>310</v>
      </c>
      <c r="B205" t="s">
        <v>96</v>
      </c>
      <c r="C205" t="s">
        <v>19</v>
      </c>
      <c r="D205" s="1">
        <v>45423</v>
      </c>
      <c r="E205">
        <v>295</v>
      </c>
      <c r="F205">
        <v>214</v>
      </c>
      <c r="G205">
        <v>81</v>
      </c>
      <c r="H205" t="s">
        <v>12</v>
      </c>
      <c r="I205" t="s">
        <v>45</v>
      </c>
    </row>
    <row r="206" spans="1:9" x14ac:dyDescent="0.35">
      <c r="A206" t="s">
        <v>311</v>
      </c>
      <c r="B206" t="s">
        <v>159</v>
      </c>
      <c r="C206" t="s">
        <v>31</v>
      </c>
      <c r="D206" s="1">
        <v>45198</v>
      </c>
      <c r="E206">
        <v>825</v>
      </c>
      <c r="F206">
        <v>544</v>
      </c>
      <c r="G206">
        <v>281</v>
      </c>
      <c r="H206" t="s">
        <v>12</v>
      </c>
      <c r="I206" t="s">
        <v>24</v>
      </c>
    </row>
    <row r="207" spans="1:9" x14ac:dyDescent="0.35">
      <c r="A207" t="s">
        <v>312</v>
      </c>
      <c r="B207" t="s">
        <v>175</v>
      </c>
      <c r="C207" t="s">
        <v>27</v>
      </c>
      <c r="D207" s="1">
        <v>45244</v>
      </c>
      <c r="E207">
        <v>507</v>
      </c>
      <c r="F207">
        <v>124</v>
      </c>
      <c r="G207">
        <v>383</v>
      </c>
      <c r="H207" t="s">
        <v>12</v>
      </c>
      <c r="I207" t="s">
        <v>20</v>
      </c>
    </row>
    <row r="208" spans="1:9" x14ac:dyDescent="0.35">
      <c r="A208" t="s">
        <v>313</v>
      </c>
      <c r="B208" t="s">
        <v>22</v>
      </c>
      <c r="C208" t="s">
        <v>31</v>
      </c>
      <c r="D208" s="1">
        <v>45525</v>
      </c>
      <c r="E208">
        <v>105</v>
      </c>
      <c r="F208">
        <v>35</v>
      </c>
      <c r="G208">
        <v>70</v>
      </c>
      <c r="H208" t="s">
        <v>12</v>
      </c>
      <c r="I208" t="s">
        <v>13</v>
      </c>
    </row>
    <row r="209" spans="1:9" x14ac:dyDescent="0.35">
      <c r="A209" t="s">
        <v>314</v>
      </c>
      <c r="B209" t="s">
        <v>184</v>
      </c>
      <c r="C209" t="s">
        <v>31</v>
      </c>
      <c r="D209" s="1">
        <v>44933</v>
      </c>
      <c r="E209">
        <v>342</v>
      </c>
      <c r="F209">
        <v>298</v>
      </c>
      <c r="G209">
        <v>44</v>
      </c>
      <c r="H209" t="s">
        <v>12</v>
      </c>
      <c r="I209" t="s">
        <v>13</v>
      </c>
    </row>
    <row r="210" spans="1:9" x14ac:dyDescent="0.35">
      <c r="A210" t="s">
        <v>315</v>
      </c>
      <c r="B210" t="s">
        <v>10</v>
      </c>
      <c r="C210" t="s">
        <v>31</v>
      </c>
      <c r="D210" s="1">
        <v>45100</v>
      </c>
      <c r="E210">
        <v>470</v>
      </c>
      <c r="F210">
        <v>87</v>
      </c>
      <c r="G210">
        <v>383</v>
      </c>
      <c r="H210" t="s">
        <v>12</v>
      </c>
      <c r="I210" t="s">
        <v>24</v>
      </c>
    </row>
    <row r="211" spans="1:9" x14ac:dyDescent="0.35">
      <c r="A211" t="s">
        <v>316</v>
      </c>
      <c r="B211" t="s">
        <v>189</v>
      </c>
      <c r="C211" t="s">
        <v>16</v>
      </c>
      <c r="D211" s="1">
        <v>45252</v>
      </c>
      <c r="E211">
        <v>398</v>
      </c>
      <c r="F211">
        <v>323</v>
      </c>
      <c r="G211">
        <v>75</v>
      </c>
      <c r="H211" t="s">
        <v>12</v>
      </c>
      <c r="I211" t="s">
        <v>32</v>
      </c>
    </row>
    <row r="212" spans="1:9" x14ac:dyDescent="0.35">
      <c r="A212" t="s">
        <v>317</v>
      </c>
      <c r="B212" t="s">
        <v>18</v>
      </c>
      <c r="C212" t="s">
        <v>11</v>
      </c>
      <c r="D212" s="1">
        <v>45057</v>
      </c>
      <c r="E212">
        <v>264</v>
      </c>
      <c r="F212">
        <v>6</v>
      </c>
      <c r="G212">
        <v>258</v>
      </c>
      <c r="H212" t="s">
        <v>12</v>
      </c>
      <c r="I212" t="s">
        <v>24</v>
      </c>
    </row>
    <row r="213" spans="1:9" x14ac:dyDescent="0.35">
      <c r="A213" t="s">
        <v>318</v>
      </c>
      <c r="B213" t="s">
        <v>70</v>
      </c>
      <c r="C213" t="s">
        <v>31</v>
      </c>
      <c r="D213" s="1">
        <v>45003</v>
      </c>
      <c r="E213">
        <v>656</v>
      </c>
      <c r="F213">
        <v>505</v>
      </c>
      <c r="G213">
        <v>151</v>
      </c>
      <c r="H213" t="s">
        <v>12</v>
      </c>
      <c r="I213" t="s">
        <v>24</v>
      </c>
    </row>
    <row r="214" spans="1:9" x14ac:dyDescent="0.35">
      <c r="A214" t="s">
        <v>319</v>
      </c>
      <c r="B214" t="s">
        <v>93</v>
      </c>
      <c r="C214" t="s">
        <v>11</v>
      </c>
      <c r="D214" s="1">
        <v>45511</v>
      </c>
      <c r="E214">
        <v>340</v>
      </c>
      <c r="F214">
        <v>77</v>
      </c>
      <c r="G214">
        <v>263</v>
      </c>
      <c r="H214" t="s">
        <v>12</v>
      </c>
      <c r="I214" t="s">
        <v>32</v>
      </c>
    </row>
    <row r="215" spans="1:9" x14ac:dyDescent="0.35">
      <c r="A215" t="s">
        <v>320</v>
      </c>
      <c r="B215" t="s">
        <v>238</v>
      </c>
      <c r="C215" t="s">
        <v>11</v>
      </c>
      <c r="D215" s="1">
        <v>45154</v>
      </c>
      <c r="E215">
        <v>896</v>
      </c>
      <c r="F215">
        <v>837</v>
      </c>
      <c r="G215">
        <v>59</v>
      </c>
      <c r="H215" t="s">
        <v>12</v>
      </c>
      <c r="I215" t="s">
        <v>32</v>
      </c>
    </row>
    <row r="216" spans="1:9" x14ac:dyDescent="0.35">
      <c r="A216" t="s">
        <v>321</v>
      </c>
      <c r="B216" t="s">
        <v>322</v>
      </c>
      <c r="C216" t="s">
        <v>31</v>
      </c>
      <c r="D216" s="1">
        <v>44935</v>
      </c>
      <c r="E216">
        <v>948</v>
      </c>
      <c r="F216">
        <v>251</v>
      </c>
      <c r="G216">
        <v>697</v>
      </c>
      <c r="H216" t="s">
        <v>12</v>
      </c>
      <c r="I216" t="s">
        <v>20</v>
      </c>
    </row>
    <row r="217" spans="1:9" x14ac:dyDescent="0.35">
      <c r="A217" t="s">
        <v>323</v>
      </c>
      <c r="B217" t="s">
        <v>56</v>
      </c>
      <c r="C217" t="s">
        <v>19</v>
      </c>
      <c r="D217" s="1">
        <v>44980</v>
      </c>
      <c r="E217">
        <v>709</v>
      </c>
      <c r="F217">
        <v>382</v>
      </c>
      <c r="G217">
        <v>327</v>
      </c>
      <c r="H217" t="s">
        <v>12</v>
      </c>
      <c r="I217" t="s">
        <v>32</v>
      </c>
    </row>
    <row r="218" spans="1:9" x14ac:dyDescent="0.35">
      <c r="A218" t="s">
        <v>324</v>
      </c>
      <c r="B218" t="s">
        <v>202</v>
      </c>
      <c r="C218" t="s">
        <v>27</v>
      </c>
      <c r="D218" s="1">
        <v>45277</v>
      </c>
      <c r="E218">
        <v>605</v>
      </c>
      <c r="F218">
        <v>430</v>
      </c>
      <c r="G218">
        <v>175</v>
      </c>
      <c r="H218" t="s">
        <v>12</v>
      </c>
      <c r="I218" t="s">
        <v>20</v>
      </c>
    </row>
    <row r="219" spans="1:9" x14ac:dyDescent="0.35">
      <c r="A219" t="s">
        <v>325</v>
      </c>
      <c r="B219" t="s">
        <v>263</v>
      </c>
      <c r="C219" t="s">
        <v>31</v>
      </c>
      <c r="D219" s="1">
        <v>45355</v>
      </c>
      <c r="E219">
        <v>696</v>
      </c>
      <c r="F219">
        <v>656</v>
      </c>
      <c r="G219">
        <v>40</v>
      </c>
      <c r="H219" t="s">
        <v>12</v>
      </c>
      <c r="I219" t="s">
        <v>32</v>
      </c>
    </row>
    <row r="220" spans="1:9" x14ac:dyDescent="0.35">
      <c r="A220" t="s">
        <v>326</v>
      </c>
      <c r="B220" t="s">
        <v>99</v>
      </c>
      <c r="C220" t="s">
        <v>23</v>
      </c>
      <c r="D220" s="1">
        <v>45231</v>
      </c>
      <c r="E220">
        <v>808</v>
      </c>
      <c r="F220">
        <v>278</v>
      </c>
      <c r="G220">
        <v>530</v>
      </c>
      <c r="H220" t="s">
        <v>12</v>
      </c>
      <c r="I220" t="s">
        <v>20</v>
      </c>
    </row>
    <row r="221" spans="1:9" x14ac:dyDescent="0.35">
      <c r="A221" t="s">
        <v>327</v>
      </c>
      <c r="B221" t="s">
        <v>63</v>
      </c>
      <c r="C221" t="s">
        <v>19</v>
      </c>
      <c r="D221" s="1">
        <v>45198</v>
      </c>
      <c r="E221">
        <v>439</v>
      </c>
      <c r="F221">
        <v>423</v>
      </c>
      <c r="G221">
        <v>16</v>
      </c>
      <c r="H221" t="s">
        <v>12</v>
      </c>
      <c r="I221" t="s">
        <v>45</v>
      </c>
    </row>
    <row r="222" spans="1:9" x14ac:dyDescent="0.35">
      <c r="A222" t="s">
        <v>328</v>
      </c>
      <c r="B222" t="s">
        <v>150</v>
      </c>
      <c r="C222" t="s">
        <v>23</v>
      </c>
      <c r="D222" s="1">
        <v>45164</v>
      </c>
      <c r="E222">
        <v>608</v>
      </c>
      <c r="F222">
        <v>361</v>
      </c>
      <c r="G222">
        <v>247</v>
      </c>
      <c r="H222" t="s">
        <v>12</v>
      </c>
      <c r="I222" t="s">
        <v>13</v>
      </c>
    </row>
    <row r="223" spans="1:9" x14ac:dyDescent="0.35">
      <c r="A223" t="s">
        <v>329</v>
      </c>
      <c r="B223" t="s">
        <v>10</v>
      </c>
      <c r="C223" t="s">
        <v>16</v>
      </c>
      <c r="D223" s="1">
        <v>45482</v>
      </c>
      <c r="E223">
        <v>931</v>
      </c>
      <c r="F223">
        <v>15</v>
      </c>
      <c r="G223">
        <v>916</v>
      </c>
      <c r="H223" t="s">
        <v>12</v>
      </c>
      <c r="I223" t="s">
        <v>28</v>
      </c>
    </row>
    <row r="224" spans="1:9" x14ac:dyDescent="0.35">
      <c r="A224" t="s">
        <v>330</v>
      </c>
      <c r="B224" t="s">
        <v>331</v>
      </c>
      <c r="C224" t="s">
        <v>31</v>
      </c>
      <c r="D224" s="1">
        <v>45304</v>
      </c>
      <c r="E224">
        <v>715</v>
      </c>
      <c r="F224">
        <v>684</v>
      </c>
      <c r="G224">
        <v>31</v>
      </c>
      <c r="H224" t="s">
        <v>12</v>
      </c>
      <c r="I224" t="s">
        <v>24</v>
      </c>
    </row>
    <row r="225" spans="1:9" x14ac:dyDescent="0.35">
      <c r="A225" t="s">
        <v>332</v>
      </c>
      <c r="B225" t="s">
        <v>36</v>
      </c>
      <c r="C225" t="s">
        <v>11</v>
      </c>
      <c r="D225" s="1">
        <v>44972</v>
      </c>
      <c r="E225">
        <v>699</v>
      </c>
      <c r="F225">
        <v>228</v>
      </c>
      <c r="G225">
        <v>471</v>
      </c>
      <c r="H225" t="s">
        <v>12</v>
      </c>
      <c r="I225" t="s">
        <v>45</v>
      </c>
    </row>
    <row r="226" spans="1:9" x14ac:dyDescent="0.35">
      <c r="A226" t="s">
        <v>333</v>
      </c>
      <c r="B226" t="s">
        <v>140</v>
      </c>
      <c r="C226" t="s">
        <v>19</v>
      </c>
      <c r="D226" s="1">
        <v>45083</v>
      </c>
      <c r="E226">
        <v>595</v>
      </c>
      <c r="F226">
        <v>568</v>
      </c>
      <c r="G226">
        <v>27</v>
      </c>
      <c r="H226" t="s">
        <v>12</v>
      </c>
      <c r="I226" t="s">
        <v>45</v>
      </c>
    </row>
    <row r="227" spans="1:9" x14ac:dyDescent="0.35">
      <c r="A227" t="s">
        <v>334</v>
      </c>
      <c r="B227" t="s">
        <v>44</v>
      </c>
      <c r="C227" t="s">
        <v>11</v>
      </c>
      <c r="D227" s="1">
        <v>45255</v>
      </c>
      <c r="E227">
        <v>543</v>
      </c>
      <c r="F227">
        <v>239</v>
      </c>
      <c r="G227">
        <v>304</v>
      </c>
      <c r="H227" t="s">
        <v>12</v>
      </c>
      <c r="I227" t="s">
        <v>28</v>
      </c>
    </row>
    <row r="228" spans="1:9" x14ac:dyDescent="0.35">
      <c r="A228" t="s">
        <v>335</v>
      </c>
      <c r="B228" t="s">
        <v>216</v>
      </c>
      <c r="C228" t="s">
        <v>27</v>
      </c>
      <c r="D228" s="1">
        <v>44927</v>
      </c>
      <c r="E228">
        <v>378</v>
      </c>
      <c r="F228">
        <v>67</v>
      </c>
      <c r="G228">
        <v>311</v>
      </c>
      <c r="H228" t="s">
        <v>12</v>
      </c>
      <c r="I228" t="s">
        <v>32</v>
      </c>
    </row>
    <row r="229" spans="1:9" x14ac:dyDescent="0.35">
      <c r="A229" t="s">
        <v>336</v>
      </c>
      <c r="B229" t="s">
        <v>337</v>
      </c>
      <c r="C229" t="s">
        <v>31</v>
      </c>
      <c r="D229" s="1">
        <v>44947</v>
      </c>
      <c r="E229">
        <v>827</v>
      </c>
      <c r="F229">
        <v>371</v>
      </c>
      <c r="G229">
        <v>456</v>
      </c>
      <c r="H229" t="s">
        <v>12</v>
      </c>
      <c r="I229" t="s">
        <v>32</v>
      </c>
    </row>
    <row r="230" spans="1:9" x14ac:dyDescent="0.35">
      <c r="A230" t="s">
        <v>338</v>
      </c>
      <c r="B230" t="s">
        <v>216</v>
      </c>
      <c r="C230" t="s">
        <v>23</v>
      </c>
      <c r="D230" s="1">
        <v>45374</v>
      </c>
      <c r="E230">
        <v>858</v>
      </c>
      <c r="F230">
        <v>506</v>
      </c>
      <c r="G230">
        <v>352</v>
      </c>
      <c r="H230" t="s">
        <v>12</v>
      </c>
      <c r="I230" t="s">
        <v>20</v>
      </c>
    </row>
    <row r="231" spans="1:9" x14ac:dyDescent="0.35">
      <c r="A231" t="s">
        <v>339</v>
      </c>
      <c r="B231" t="s">
        <v>136</v>
      </c>
      <c r="C231" t="s">
        <v>31</v>
      </c>
      <c r="D231" s="1">
        <v>45091</v>
      </c>
      <c r="E231">
        <v>837</v>
      </c>
      <c r="F231">
        <v>215</v>
      </c>
      <c r="G231">
        <v>622</v>
      </c>
      <c r="H231" t="s">
        <v>12</v>
      </c>
      <c r="I231" t="s">
        <v>24</v>
      </c>
    </row>
    <row r="232" spans="1:9" x14ac:dyDescent="0.35">
      <c r="A232" t="s">
        <v>340</v>
      </c>
      <c r="B232" t="s">
        <v>145</v>
      </c>
      <c r="C232" t="s">
        <v>11</v>
      </c>
      <c r="D232" s="1">
        <v>45314</v>
      </c>
      <c r="E232">
        <v>658</v>
      </c>
      <c r="F232">
        <v>547</v>
      </c>
      <c r="G232">
        <v>111</v>
      </c>
      <c r="H232" t="s">
        <v>12</v>
      </c>
      <c r="I232" t="s">
        <v>32</v>
      </c>
    </row>
    <row r="233" spans="1:9" x14ac:dyDescent="0.35">
      <c r="A233" t="s">
        <v>341</v>
      </c>
      <c r="B233" t="s">
        <v>186</v>
      </c>
      <c r="C233" t="s">
        <v>19</v>
      </c>
      <c r="D233" s="1">
        <v>45156</v>
      </c>
      <c r="E233">
        <v>320</v>
      </c>
      <c r="F233">
        <v>60</v>
      </c>
      <c r="G233">
        <v>260</v>
      </c>
      <c r="H233" t="s">
        <v>12</v>
      </c>
      <c r="I233" t="s">
        <v>20</v>
      </c>
    </row>
    <row r="234" spans="1:9" x14ac:dyDescent="0.35">
      <c r="A234" t="s">
        <v>342</v>
      </c>
      <c r="B234" t="s">
        <v>138</v>
      </c>
      <c r="C234" t="s">
        <v>16</v>
      </c>
      <c r="D234" s="1">
        <v>45460</v>
      </c>
      <c r="E234">
        <v>794</v>
      </c>
      <c r="F234">
        <v>220</v>
      </c>
      <c r="G234">
        <v>574</v>
      </c>
      <c r="H234" t="s">
        <v>12</v>
      </c>
      <c r="I234" t="s">
        <v>13</v>
      </c>
    </row>
    <row r="235" spans="1:9" x14ac:dyDescent="0.35">
      <c r="A235" t="s">
        <v>343</v>
      </c>
      <c r="B235" t="s">
        <v>26</v>
      </c>
      <c r="C235" t="s">
        <v>23</v>
      </c>
      <c r="D235" s="1">
        <v>45112</v>
      </c>
      <c r="E235">
        <v>178</v>
      </c>
      <c r="F235">
        <v>78</v>
      </c>
      <c r="G235">
        <v>100</v>
      </c>
      <c r="H235" t="s">
        <v>12</v>
      </c>
      <c r="I235" t="s">
        <v>13</v>
      </c>
    </row>
    <row r="236" spans="1:9" x14ac:dyDescent="0.35">
      <c r="A236" t="s">
        <v>344</v>
      </c>
      <c r="B236" t="s">
        <v>48</v>
      </c>
      <c r="C236" t="s">
        <v>19</v>
      </c>
      <c r="D236" s="1">
        <v>44974</v>
      </c>
      <c r="E236">
        <v>600</v>
      </c>
      <c r="F236">
        <v>0</v>
      </c>
      <c r="G236">
        <v>600</v>
      </c>
      <c r="H236" t="s">
        <v>12</v>
      </c>
      <c r="I236" t="s">
        <v>45</v>
      </c>
    </row>
    <row r="237" spans="1:9" x14ac:dyDescent="0.35">
      <c r="A237" t="s">
        <v>345</v>
      </c>
      <c r="B237" t="s">
        <v>136</v>
      </c>
      <c r="C237" t="s">
        <v>27</v>
      </c>
      <c r="D237" s="1">
        <v>45106</v>
      </c>
      <c r="E237">
        <v>542</v>
      </c>
      <c r="F237">
        <v>528</v>
      </c>
      <c r="G237">
        <v>14</v>
      </c>
      <c r="H237" t="s">
        <v>12</v>
      </c>
      <c r="I237" t="s">
        <v>24</v>
      </c>
    </row>
    <row r="238" spans="1:9" x14ac:dyDescent="0.35">
      <c r="A238" t="s">
        <v>346</v>
      </c>
      <c r="B238" t="s">
        <v>159</v>
      </c>
      <c r="C238" t="s">
        <v>31</v>
      </c>
      <c r="D238" s="1">
        <v>45006</v>
      </c>
      <c r="E238">
        <v>523</v>
      </c>
      <c r="F238">
        <v>103</v>
      </c>
      <c r="G238">
        <v>420</v>
      </c>
      <c r="H238" t="s">
        <v>12</v>
      </c>
      <c r="I238" t="s">
        <v>32</v>
      </c>
    </row>
    <row r="239" spans="1:9" x14ac:dyDescent="0.35">
      <c r="A239" t="s">
        <v>347</v>
      </c>
      <c r="B239" t="s">
        <v>83</v>
      </c>
      <c r="C239" t="s">
        <v>11</v>
      </c>
      <c r="D239" s="1">
        <v>45293</v>
      </c>
      <c r="E239">
        <v>130</v>
      </c>
      <c r="F239">
        <v>63</v>
      </c>
      <c r="G239">
        <v>67</v>
      </c>
      <c r="H239" t="s">
        <v>12</v>
      </c>
      <c r="I239" t="s">
        <v>20</v>
      </c>
    </row>
    <row r="240" spans="1:9" x14ac:dyDescent="0.35">
      <c r="A240" t="s">
        <v>348</v>
      </c>
      <c r="B240" t="s">
        <v>130</v>
      </c>
      <c r="C240" t="s">
        <v>16</v>
      </c>
      <c r="D240" s="1">
        <v>44974</v>
      </c>
      <c r="E240">
        <v>121</v>
      </c>
      <c r="F240">
        <v>76</v>
      </c>
      <c r="G240">
        <v>45</v>
      </c>
      <c r="H240" t="s">
        <v>12</v>
      </c>
      <c r="I240" t="s">
        <v>20</v>
      </c>
    </row>
    <row r="241" spans="1:9" x14ac:dyDescent="0.35">
      <c r="A241" t="s">
        <v>349</v>
      </c>
      <c r="B241" t="s">
        <v>76</v>
      </c>
      <c r="C241" t="s">
        <v>11</v>
      </c>
      <c r="D241" s="1">
        <v>45064</v>
      </c>
      <c r="E241">
        <v>912</v>
      </c>
      <c r="F241">
        <v>633</v>
      </c>
      <c r="G241">
        <v>279</v>
      </c>
      <c r="H241" t="s">
        <v>12</v>
      </c>
      <c r="I241" t="s">
        <v>32</v>
      </c>
    </row>
    <row r="242" spans="1:9" x14ac:dyDescent="0.35">
      <c r="A242" t="s">
        <v>350</v>
      </c>
      <c r="B242" t="s">
        <v>337</v>
      </c>
      <c r="C242" t="s">
        <v>31</v>
      </c>
      <c r="D242" s="1">
        <v>45006</v>
      </c>
      <c r="E242">
        <v>407</v>
      </c>
      <c r="F242">
        <v>85</v>
      </c>
      <c r="G242">
        <v>322</v>
      </c>
      <c r="H242" t="s">
        <v>12</v>
      </c>
      <c r="I242" t="s">
        <v>24</v>
      </c>
    </row>
    <row r="243" spans="1:9" x14ac:dyDescent="0.35">
      <c r="A243" t="s">
        <v>351</v>
      </c>
      <c r="B243" t="s">
        <v>352</v>
      </c>
      <c r="C243" t="s">
        <v>19</v>
      </c>
      <c r="D243" s="1">
        <v>45130</v>
      </c>
      <c r="E243">
        <v>342</v>
      </c>
      <c r="F243">
        <v>200</v>
      </c>
      <c r="G243">
        <v>142</v>
      </c>
      <c r="H243" t="s">
        <v>12</v>
      </c>
      <c r="I243" t="s">
        <v>24</v>
      </c>
    </row>
    <row r="244" spans="1:9" x14ac:dyDescent="0.35">
      <c r="A244" t="s">
        <v>353</v>
      </c>
      <c r="B244" t="s">
        <v>93</v>
      </c>
      <c r="C244" t="s">
        <v>23</v>
      </c>
      <c r="D244" s="1">
        <v>45334</v>
      </c>
      <c r="E244">
        <v>832</v>
      </c>
      <c r="F244">
        <v>276</v>
      </c>
      <c r="G244">
        <v>556</v>
      </c>
      <c r="H244" t="s">
        <v>12</v>
      </c>
      <c r="I244" t="s">
        <v>28</v>
      </c>
    </row>
    <row r="245" spans="1:9" x14ac:dyDescent="0.35">
      <c r="A245" t="s">
        <v>354</v>
      </c>
      <c r="B245" t="s">
        <v>331</v>
      </c>
      <c r="C245" t="s">
        <v>27</v>
      </c>
      <c r="D245" s="1">
        <v>45070</v>
      </c>
      <c r="E245">
        <v>233</v>
      </c>
      <c r="F245">
        <v>178</v>
      </c>
      <c r="G245">
        <v>55</v>
      </c>
      <c r="H245" t="s">
        <v>12</v>
      </c>
      <c r="I245" t="s">
        <v>24</v>
      </c>
    </row>
    <row r="246" spans="1:9" x14ac:dyDescent="0.35">
      <c r="A246" t="s">
        <v>355</v>
      </c>
      <c r="B246" t="s">
        <v>331</v>
      </c>
      <c r="C246" t="s">
        <v>27</v>
      </c>
      <c r="D246" s="1">
        <v>45041</v>
      </c>
      <c r="E246">
        <v>657</v>
      </c>
      <c r="F246">
        <v>67</v>
      </c>
      <c r="G246">
        <v>590</v>
      </c>
      <c r="H246" t="s">
        <v>12</v>
      </c>
      <c r="I246" t="s">
        <v>28</v>
      </c>
    </row>
    <row r="247" spans="1:9" x14ac:dyDescent="0.35">
      <c r="A247" t="s">
        <v>356</v>
      </c>
      <c r="B247" t="s">
        <v>357</v>
      </c>
      <c r="C247" t="s">
        <v>16</v>
      </c>
      <c r="D247" s="1">
        <v>45383</v>
      </c>
      <c r="E247">
        <v>733</v>
      </c>
      <c r="F247">
        <v>472</v>
      </c>
      <c r="G247">
        <v>261</v>
      </c>
      <c r="H247" t="s">
        <v>12</v>
      </c>
      <c r="I247" t="s">
        <v>45</v>
      </c>
    </row>
    <row r="248" spans="1:9" x14ac:dyDescent="0.35">
      <c r="A248" t="s">
        <v>358</v>
      </c>
      <c r="B248" t="s">
        <v>331</v>
      </c>
      <c r="C248" t="s">
        <v>31</v>
      </c>
      <c r="D248" s="1">
        <v>45293</v>
      </c>
      <c r="E248">
        <v>349</v>
      </c>
      <c r="F248">
        <v>256</v>
      </c>
      <c r="G248">
        <v>93</v>
      </c>
      <c r="H248" t="s">
        <v>12</v>
      </c>
      <c r="I248" t="s">
        <v>28</v>
      </c>
    </row>
    <row r="249" spans="1:9" x14ac:dyDescent="0.35">
      <c r="A249" t="s">
        <v>359</v>
      </c>
      <c r="B249" t="s">
        <v>276</v>
      </c>
      <c r="C249" t="s">
        <v>16</v>
      </c>
      <c r="D249" s="1">
        <v>45064</v>
      </c>
      <c r="E249">
        <v>287</v>
      </c>
      <c r="F249">
        <v>154</v>
      </c>
      <c r="G249">
        <v>133</v>
      </c>
      <c r="H249" t="s">
        <v>12</v>
      </c>
      <c r="I249" t="s">
        <v>32</v>
      </c>
    </row>
    <row r="250" spans="1:9" x14ac:dyDescent="0.35">
      <c r="A250" t="s">
        <v>360</v>
      </c>
      <c r="B250" t="s">
        <v>145</v>
      </c>
      <c r="C250" t="s">
        <v>27</v>
      </c>
      <c r="D250" s="1">
        <v>44995</v>
      </c>
      <c r="E250">
        <v>259</v>
      </c>
      <c r="F250">
        <v>43</v>
      </c>
      <c r="G250">
        <v>216</v>
      </c>
      <c r="H250" t="s">
        <v>12</v>
      </c>
      <c r="I250" t="s">
        <v>28</v>
      </c>
    </row>
    <row r="251" spans="1:9" x14ac:dyDescent="0.35">
      <c r="A251" t="s">
        <v>361</v>
      </c>
      <c r="B251" t="s">
        <v>134</v>
      </c>
      <c r="C251" t="s">
        <v>31</v>
      </c>
      <c r="D251" s="1">
        <v>45490</v>
      </c>
      <c r="E251">
        <v>288</v>
      </c>
      <c r="F251">
        <v>95</v>
      </c>
      <c r="G251">
        <v>193</v>
      </c>
      <c r="H251" t="s">
        <v>12</v>
      </c>
      <c r="I251" t="s">
        <v>20</v>
      </c>
    </row>
    <row r="252" spans="1:9" x14ac:dyDescent="0.35">
      <c r="A252" t="s">
        <v>362</v>
      </c>
      <c r="B252" t="s">
        <v>171</v>
      </c>
      <c r="C252" t="s">
        <v>23</v>
      </c>
      <c r="D252" s="1">
        <v>45263</v>
      </c>
      <c r="E252">
        <v>563</v>
      </c>
      <c r="F252">
        <v>53</v>
      </c>
      <c r="G252">
        <v>510</v>
      </c>
      <c r="H252" t="s">
        <v>12</v>
      </c>
      <c r="I252" t="s">
        <v>24</v>
      </c>
    </row>
    <row r="253" spans="1:9" x14ac:dyDescent="0.35">
      <c r="A253" t="s">
        <v>363</v>
      </c>
      <c r="B253" t="s">
        <v>38</v>
      </c>
      <c r="C253" t="s">
        <v>31</v>
      </c>
      <c r="D253" s="1">
        <v>45032</v>
      </c>
      <c r="E253">
        <v>249</v>
      </c>
      <c r="F253">
        <v>74</v>
      </c>
      <c r="G253">
        <v>175</v>
      </c>
      <c r="H253" t="s">
        <v>12</v>
      </c>
      <c r="I253" t="s">
        <v>13</v>
      </c>
    </row>
    <row r="254" spans="1:9" x14ac:dyDescent="0.35">
      <c r="A254" t="s">
        <v>364</v>
      </c>
      <c r="B254" t="s">
        <v>22</v>
      </c>
      <c r="C254" t="s">
        <v>16</v>
      </c>
      <c r="D254" s="1">
        <v>45327</v>
      </c>
      <c r="E254">
        <v>869</v>
      </c>
      <c r="F254">
        <v>458</v>
      </c>
      <c r="G254">
        <v>411</v>
      </c>
      <c r="H254" t="s">
        <v>12</v>
      </c>
      <c r="I254" t="s">
        <v>28</v>
      </c>
    </row>
    <row r="255" spans="1:9" x14ac:dyDescent="0.35">
      <c r="A255" t="s">
        <v>365</v>
      </c>
      <c r="B255" t="s">
        <v>132</v>
      </c>
      <c r="C255" t="s">
        <v>16</v>
      </c>
      <c r="D255" s="1">
        <v>45105</v>
      </c>
      <c r="E255">
        <v>930</v>
      </c>
      <c r="F255">
        <v>483</v>
      </c>
      <c r="G255">
        <v>447</v>
      </c>
      <c r="H255" t="s">
        <v>12</v>
      </c>
      <c r="I255" t="s">
        <v>13</v>
      </c>
    </row>
    <row r="256" spans="1:9" x14ac:dyDescent="0.35">
      <c r="A256" t="s">
        <v>366</v>
      </c>
      <c r="B256" t="s">
        <v>221</v>
      </c>
      <c r="C256" t="s">
        <v>31</v>
      </c>
      <c r="D256" s="1">
        <v>44955</v>
      </c>
      <c r="E256">
        <v>814</v>
      </c>
      <c r="F256">
        <v>397</v>
      </c>
      <c r="G256">
        <v>417</v>
      </c>
      <c r="H256" t="s">
        <v>12</v>
      </c>
      <c r="I256" t="s">
        <v>28</v>
      </c>
    </row>
    <row r="257" spans="1:9" x14ac:dyDescent="0.35">
      <c r="A257" t="s">
        <v>367</v>
      </c>
      <c r="B257" t="s">
        <v>322</v>
      </c>
      <c r="C257" t="s">
        <v>19</v>
      </c>
      <c r="D257" s="1">
        <v>44937</v>
      </c>
      <c r="E257">
        <v>931</v>
      </c>
      <c r="F257">
        <v>602</v>
      </c>
      <c r="G257">
        <v>329</v>
      </c>
      <c r="H257" t="s">
        <v>12</v>
      </c>
      <c r="I257" t="s">
        <v>13</v>
      </c>
    </row>
    <row r="258" spans="1:9" x14ac:dyDescent="0.35">
      <c r="A258" t="s">
        <v>368</v>
      </c>
      <c r="B258" t="s">
        <v>301</v>
      </c>
      <c r="C258" t="s">
        <v>16</v>
      </c>
      <c r="D258" s="1">
        <v>45344</v>
      </c>
      <c r="E258">
        <v>792</v>
      </c>
      <c r="F258">
        <v>575</v>
      </c>
      <c r="G258">
        <v>217</v>
      </c>
      <c r="H258" t="s">
        <v>12</v>
      </c>
      <c r="I258" t="s">
        <v>20</v>
      </c>
    </row>
    <row r="259" spans="1:9" x14ac:dyDescent="0.35">
      <c r="A259" t="s">
        <v>369</v>
      </c>
      <c r="B259" t="s">
        <v>155</v>
      </c>
      <c r="C259" t="s">
        <v>31</v>
      </c>
      <c r="D259" s="1">
        <v>45009</v>
      </c>
      <c r="E259">
        <v>247</v>
      </c>
      <c r="F259">
        <v>211</v>
      </c>
      <c r="G259">
        <v>36</v>
      </c>
      <c r="H259" t="s">
        <v>12</v>
      </c>
      <c r="I259" t="s">
        <v>45</v>
      </c>
    </row>
    <row r="260" spans="1:9" x14ac:dyDescent="0.35">
      <c r="A260" t="s">
        <v>370</v>
      </c>
      <c r="B260" t="s">
        <v>202</v>
      </c>
      <c r="C260" t="s">
        <v>11</v>
      </c>
      <c r="D260" s="1">
        <v>45174</v>
      </c>
      <c r="E260">
        <v>780</v>
      </c>
      <c r="F260">
        <v>189</v>
      </c>
      <c r="G260">
        <v>591</v>
      </c>
      <c r="H260" t="s">
        <v>12</v>
      </c>
      <c r="I260" t="s">
        <v>20</v>
      </c>
    </row>
    <row r="261" spans="1:9" x14ac:dyDescent="0.35">
      <c r="A261" t="s">
        <v>371</v>
      </c>
      <c r="B261" t="s">
        <v>322</v>
      </c>
      <c r="C261" t="s">
        <v>27</v>
      </c>
      <c r="D261" s="1">
        <v>45397</v>
      </c>
      <c r="E261">
        <v>159</v>
      </c>
      <c r="F261">
        <v>0</v>
      </c>
      <c r="G261">
        <v>159</v>
      </c>
      <c r="H261" t="s">
        <v>12</v>
      </c>
      <c r="I261" t="s">
        <v>13</v>
      </c>
    </row>
    <row r="262" spans="1:9" x14ac:dyDescent="0.35">
      <c r="A262" t="s">
        <v>372</v>
      </c>
      <c r="B262" t="s">
        <v>65</v>
      </c>
      <c r="C262" t="s">
        <v>11</v>
      </c>
      <c r="D262" s="1">
        <v>45268</v>
      </c>
      <c r="E262">
        <v>698</v>
      </c>
      <c r="F262">
        <v>282</v>
      </c>
      <c r="G262">
        <v>416</v>
      </c>
      <c r="H262" t="s">
        <v>12</v>
      </c>
      <c r="I262" t="s">
        <v>13</v>
      </c>
    </row>
    <row r="263" spans="1:9" x14ac:dyDescent="0.35">
      <c r="A263" t="s">
        <v>373</v>
      </c>
      <c r="B263" t="s">
        <v>127</v>
      </c>
      <c r="C263" t="s">
        <v>16</v>
      </c>
      <c r="D263" s="1">
        <v>45267</v>
      </c>
      <c r="E263">
        <v>991</v>
      </c>
      <c r="F263">
        <v>407</v>
      </c>
      <c r="G263">
        <v>584</v>
      </c>
      <c r="H263" t="s">
        <v>12</v>
      </c>
      <c r="I263" t="s">
        <v>24</v>
      </c>
    </row>
    <row r="264" spans="1:9" x14ac:dyDescent="0.35">
      <c r="A264" t="s">
        <v>374</v>
      </c>
      <c r="B264" t="s">
        <v>375</v>
      </c>
      <c r="C264" t="s">
        <v>19</v>
      </c>
      <c r="D264" s="1">
        <v>45467</v>
      </c>
      <c r="E264">
        <v>423</v>
      </c>
      <c r="F264">
        <v>49</v>
      </c>
      <c r="G264">
        <v>374</v>
      </c>
      <c r="H264" t="s">
        <v>12</v>
      </c>
      <c r="I264" t="s">
        <v>32</v>
      </c>
    </row>
    <row r="265" spans="1:9" x14ac:dyDescent="0.35">
      <c r="A265" t="s">
        <v>376</v>
      </c>
      <c r="B265" t="s">
        <v>145</v>
      </c>
      <c r="C265" t="s">
        <v>19</v>
      </c>
      <c r="D265" s="1">
        <v>44937</v>
      </c>
      <c r="E265">
        <v>486</v>
      </c>
      <c r="F265">
        <v>399</v>
      </c>
      <c r="G265">
        <v>87</v>
      </c>
      <c r="H265" t="s">
        <v>12</v>
      </c>
      <c r="I265" t="s">
        <v>45</v>
      </c>
    </row>
    <row r="266" spans="1:9" x14ac:dyDescent="0.35">
      <c r="A266" t="s">
        <v>377</v>
      </c>
      <c r="B266" t="s">
        <v>134</v>
      </c>
      <c r="C266" t="s">
        <v>23</v>
      </c>
      <c r="D266" s="1">
        <v>45496</v>
      </c>
      <c r="E266">
        <v>268</v>
      </c>
      <c r="F266">
        <v>118</v>
      </c>
      <c r="G266">
        <v>150</v>
      </c>
      <c r="H266" t="s">
        <v>12</v>
      </c>
      <c r="I266" t="s">
        <v>32</v>
      </c>
    </row>
    <row r="267" spans="1:9" x14ac:dyDescent="0.35">
      <c r="A267" t="s">
        <v>378</v>
      </c>
      <c r="B267" t="s">
        <v>38</v>
      </c>
      <c r="C267" t="s">
        <v>27</v>
      </c>
      <c r="D267" s="1">
        <v>44981</v>
      </c>
      <c r="E267">
        <v>270</v>
      </c>
      <c r="F267">
        <v>177</v>
      </c>
      <c r="G267">
        <v>93</v>
      </c>
      <c r="H267" t="s">
        <v>12</v>
      </c>
      <c r="I267" t="s">
        <v>32</v>
      </c>
    </row>
    <row r="268" spans="1:9" x14ac:dyDescent="0.35">
      <c r="A268" t="s">
        <v>379</v>
      </c>
      <c r="B268" t="s">
        <v>132</v>
      </c>
      <c r="C268" t="s">
        <v>16</v>
      </c>
      <c r="D268" s="1">
        <v>45483</v>
      </c>
      <c r="E268">
        <v>521</v>
      </c>
      <c r="F268">
        <v>407</v>
      </c>
      <c r="G268">
        <v>114</v>
      </c>
      <c r="H268" t="s">
        <v>12</v>
      </c>
      <c r="I268" t="s">
        <v>24</v>
      </c>
    </row>
    <row r="269" spans="1:9" x14ac:dyDescent="0.35">
      <c r="A269" t="s">
        <v>380</v>
      </c>
      <c r="B269" t="s">
        <v>168</v>
      </c>
      <c r="C269" t="s">
        <v>31</v>
      </c>
      <c r="D269" s="1">
        <v>45466</v>
      </c>
      <c r="E269">
        <v>607</v>
      </c>
      <c r="F269">
        <v>414</v>
      </c>
      <c r="G269">
        <v>193</v>
      </c>
      <c r="H269" t="s">
        <v>12</v>
      </c>
      <c r="I269" t="s">
        <v>32</v>
      </c>
    </row>
    <row r="270" spans="1:9" x14ac:dyDescent="0.35">
      <c r="A270" t="s">
        <v>381</v>
      </c>
      <c r="B270" t="s">
        <v>322</v>
      </c>
      <c r="C270" t="s">
        <v>16</v>
      </c>
      <c r="D270" s="1">
        <v>45356</v>
      </c>
      <c r="E270">
        <v>464</v>
      </c>
      <c r="F270">
        <v>92</v>
      </c>
      <c r="G270">
        <v>372</v>
      </c>
      <c r="H270" t="s">
        <v>12</v>
      </c>
      <c r="I270" t="s">
        <v>28</v>
      </c>
    </row>
    <row r="271" spans="1:9" x14ac:dyDescent="0.35">
      <c r="A271" t="s">
        <v>382</v>
      </c>
      <c r="B271" t="s">
        <v>83</v>
      </c>
      <c r="C271" t="s">
        <v>31</v>
      </c>
      <c r="D271" s="1">
        <v>45176</v>
      </c>
      <c r="E271">
        <v>313</v>
      </c>
      <c r="F271">
        <v>215</v>
      </c>
      <c r="G271">
        <v>98</v>
      </c>
      <c r="H271" t="s">
        <v>12</v>
      </c>
      <c r="I271" t="s">
        <v>13</v>
      </c>
    </row>
    <row r="272" spans="1:9" x14ac:dyDescent="0.35">
      <c r="A272" t="s">
        <v>383</v>
      </c>
      <c r="B272" t="s">
        <v>384</v>
      </c>
      <c r="C272" t="s">
        <v>27</v>
      </c>
      <c r="D272" s="1">
        <v>45513</v>
      </c>
      <c r="E272">
        <v>764</v>
      </c>
      <c r="F272">
        <v>343</v>
      </c>
      <c r="G272">
        <v>421</v>
      </c>
      <c r="H272" t="s">
        <v>12</v>
      </c>
      <c r="I272" t="s">
        <v>20</v>
      </c>
    </row>
    <row r="273" spans="1:9" x14ac:dyDescent="0.35">
      <c r="A273" t="s">
        <v>385</v>
      </c>
      <c r="B273" t="s">
        <v>155</v>
      </c>
      <c r="C273" t="s">
        <v>27</v>
      </c>
      <c r="D273" s="1">
        <v>45426</v>
      </c>
      <c r="E273">
        <v>469</v>
      </c>
      <c r="F273">
        <v>180</v>
      </c>
      <c r="G273">
        <v>289</v>
      </c>
      <c r="H273" t="s">
        <v>12</v>
      </c>
      <c r="I273" t="s">
        <v>20</v>
      </c>
    </row>
    <row r="274" spans="1:9" x14ac:dyDescent="0.35">
      <c r="A274" t="s">
        <v>386</v>
      </c>
      <c r="B274" t="s">
        <v>40</v>
      </c>
      <c r="C274" t="s">
        <v>19</v>
      </c>
      <c r="D274" s="1">
        <v>45328</v>
      </c>
      <c r="E274">
        <v>721</v>
      </c>
      <c r="F274">
        <v>329</v>
      </c>
      <c r="G274">
        <v>392</v>
      </c>
      <c r="H274" t="s">
        <v>12</v>
      </c>
      <c r="I274" t="s">
        <v>28</v>
      </c>
    </row>
    <row r="275" spans="1:9" x14ac:dyDescent="0.35">
      <c r="A275" t="s">
        <v>387</v>
      </c>
      <c r="B275" t="s">
        <v>115</v>
      </c>
      <c r="C275" t="s">
        <v>11</v>
      </c>
      <c r="D275" s="1">
        <v>45145</v>
      </c>
      <c r="E275">
        <v>891</v>
      </c>
      <c r="F275">
        <v>671</v>
      </c>
      <c r="G275">
        <v>220</v>
      </c>
      <c r="H275" t="s">
        <v>12</v>
      </c>
      <c r="I275" t="s">
        <v>24</v>
      </c>
    </row>
    <row r="276" spans="1:9" x14ac:dyDescent="0.35">
      <c r="A276" t="s">
        <v>388</v>
      </c>
      <c r="B276" t="s">
        <v>96</v>
      </c>
      <c r="C276" t="s">
        <v>31</v>
      </c>
      <c r="D276" s="1">
        <v>45147</v>
      </c>
      <c r="E276">
        <v>611</v>
      </c>
      <c r="F276">
        <v>273</v>
      </c>
      <c r="G276">
        <v>338</v>
      </c>
      <c r="H276" t="s">
        <v>12</v>
      </c>
      <c r="I276" t="s">
        <v>13</v>
      </c>
    </row>
    <row r="277" spans="1:9" x14ac:dyDescent="0.35">
      <c r="A277" t="s">
        <v>389</v>
      </c>
      <c r="B277" t="s">
        <v>89</v>
      </c>
      <c r="C277" t="s">
        <v>31</v>
      </c>
      <c r="D277" s="1">
        <v>45342</v>
      </c>
      <c r="E277">
        <v>117</v>
      </c>
      <c r="F277">
        <v>87</v>
      </c>
      <c r="G277">
        <v>30</v>
      </c>
      <c r="H277" t="s">
        <v>12</v>
      </c>
      <c r="I277" t="s">
        <v>45</v>
      </c>
    </row>
    <row r="278" spans="1:9" x14ac:dyDescent="0.35">
      <c r="A278" t="s">
        <v>390</v>
      </c>
      <c r="B278" t="s">
        <v>40</v>
      </c>
      <c r="C278" t="s">
        <v>23</v>
      </c>
      <c r="D278" s="1">
        <v>45095</v>
      </c>
      <c r="E278">
        <v>699</v>
      </c>
      <c r="F278">
        <v>614</v>
      </c>
      <c r="G278">
        <v>85</v>
      </c>
      <c r="H278" t="s">
        <v>12</v>
      </c>
      <c r="I278" t="s">
        <v>13</v>
      </c>
    </row>
    <row r="279" spans="1:9" x14ac:dyDescent="0.35">
      <c r="A279" t="s">
        <v>391</v>
      </c>
      <c r="B279" t="s">
        <v>171</v>
      </c>
      <c r="C279" t="s">
        <v>31</v>
      </c>
      <c r="D279" s="1">
        <v>44986</v>
      </c>
      <c r="E279">
        <v>108</v>
      </c>
      <c r="F279">
        <v>77</v>
      </c>
      <c r="G279">
        <v>31</v>
      </c>
      <c r="H279" t="s">
        <v>12</v>
      </c>
      <c r="I279" t="s">
        <v>13</v>
      </c>
    </row>
    <row r="280" spans="1:9" x14ac:dyDescent="0.35">
      <c r="A280" t="s">
        <v>392</v>
      </c>
      <c r="B280" t="s">
        <v>254</v>
      </c>
      <c r="C280" t="s">
        <v>19</v>
      </c>
      <c r="D280" s="1">
        <v>44933</v>
      </c>
      <c r="E280">
        <v>998</v>
      </c>
      <c r="F280">
        <v>242</v>
      </c>
      <c r="G280">
        <v>756</v>
      </c>
      <c r="H280" t="s">
        <v>12</v>
      </c>
      <c r="I280" t="s">
        <v>28</v>
      </c>
    </row>
    <row r="281" spans="1:9" x14ac:dyDescent="0.35">
      <c r="A281" t="s">
        <v>393</v>
      </c>
      <c r="B281" t="s">
        <v>54</v>
      </c>
      <c r="C281" t="s">
        <v>16</v>
      </c>
      <c r="D281" s="1">
        <v>45253</v>
      </c>
      <c r="E281">
        <v>459</v>
      </c>
      <c r="F281">
        <v>212</v>
      </c>
      <c r="G281">
        <v>247</v>
      </c>
      <c r="H281" t="s">
        <v>12</v>
      </c>
      <c r="I281" t="s">
        <v>24</v>
      </c>
    </row>
    <row r="282" spans="1:9" x14ac:dyDescent="0.35">
      <c r="A282" t="s">
        <v>394</v>
      </c>
      <c r="B282" t="s">
        <v>72</v>
      </c>
      <c r="C282" t="s">
        <v>23</v>
      </c>
      <c r="D282" s="1">
        <v>45018</v>
      </c>
      <c r="E282">
        <v>422</v>
      </c>
      <c r="F282">
        <v>273</v>
      </c>
      <c r="G282">
        <v>149</v>
      </c>
      <c r="H282" t="s">
        <v>12</v>
      </c>
      <c r="I282" t="s">
        <v>20</v>
      </c>
    </row>
    <row r="283" spans="1:9" x14ac:dyDescent="0.35">
      <c r="A283" t="s">
        <v>395</v>
      </c>
      <c r="B283" t="s">
        <v>136</v>
      </c>
      <c r="C283" t="s">
        <v>27</v>
      </c>
      <c r="D283" s="1">
        <v>45063</v>
      </c>
      <c r="E283">
        <v>904</v>
      </c>
      <c r="F283">
        <v>331</v>
      </c>
      <c r="G283">
        <v>573</v>
      </c>
      <c r="H283" t="s">
        <v>12</v>
      </c>
      <c r="I283" t="s">
        <v>20</v>
      </c>
    </row>
    <row r="284" spans="1:9" x14ac:dyDescent="0.35">
      <c r="A284" t="s">
        <v>396</v>
      </c>
      <c r="B284" t="s">
        <v>38</v>
      </c>
      <c r="C284" t="s">
        <v>31</v>
      </c>
      <c r="D284" s="1">
        <v>45110</v>
      </c>
      <c r="E284">
        <v>487</v>
      </c>
      <c r="F284">
        <v>54</v>
      </c>
      <c r="G284">
        <v>433</v>
      </c>
      <c r="H284" t="s">
        <v>12</v>
      </c>
      <c r="I284" t="s">
        <v>20</v>
      </c>
    </row>
    <row r="285" spans="1:9" x14ac:dyDescent="0.35">
      <c r="A285" t="s">
        <v>397</v>
      </c>
      <c r="B285" t="s">
        <v>83</v>
      </c>
      <c r="C285" t="s">
        <v>31</v>
      </c>
      <c r="D285" s="1">
        <v>44976</v>
      </c>
      <c r="E285">
        <v>321</v>
      </c>
      <c r="F285">
        <v>111</v>
      </c>
      <c r="G285">
        <v>210</v>
      </c>
      <c r="H285" t="s">
        <v>12</v>
      </c>
      <c r="I285" t="s">
        <v>28</v>
      </c>
    </row>
    <row r="286" spans="1:9" x14ac:dyDescent="0.35">
      <c r="A286" t="s">
        <v>398</v>
      </c>
      <c r="B286" t="s">
        <v>140</v>
      </c>
      <c r="C286" t="s">
        <v>19</v>
      </c>
      <c r="D286" s="1">
        <v>45030</v>
      </c>
      <c r="E286">
        <v>691</v>
      </c>
      <c r="F286">
        <v>647</v>
      </c>
      <c r="G286">
        <v>44</v>
      </c>
      <c r="H286" t="s">
        <v>12</v>
      </c>
      <c r="I286" t="s">
        <v>32</v>
      </c>
    </row>
    <row r="287" spans="1:9" x14ac:dyDescent="0.35">
      <c r="A287" t="s">
        <v>399</v>
      </c>
      <c r="B287" t="s">
        <v>400</v>
      </c>
      <c r="C287" t="s">
        <v>16</v>
      </c>
      <c r="D287" s="1">
        <v>44939</v>
      </c>
      <c r="E287">
        <v>996</v>
      </c>
      <c r="F287">
        <v>11</v>
      </c>
      <c r="G287">
        <v>985</v>
      </c>
      <c r="H287" t="s">
        <v>12</v>
      </c>
      <c r="I287" t="s">
        <v>24</v>
      </c>
    </row>
    <row r="288" spans="1:9" x14ac:dyDescent="0.35">
      <c r="A288" t="s">
        <v>401</v>
      </c>
      <c r="B288" t="s">
        <v>22</v>
      </c>
      <c r="C288" t="s">
        <v>16</v>
      </c>
      <c r="D288" s="1">
        <v>45220</v>
      </c>
      <c r="E288">
        <v>914</v>
      </c>
      <c r="F288">
        <v>264</v>
      </c>
      <c r="G288">
        <v>650</v>
      </c>
      <c r="H288" t="s">
        <v>12</v>
      </c>
      <c r="I288" t="s">
        <v>28</v>
      </c>
    </row>
    <row r="289" spans="1:9" x14ac:dyDescent="0.35">
      <c r="A289" t="s">
        <v>402</v>
      </c>
      <c r="B289" t="s">
        <v>34</v>
      </c>
      <c r="C289" t="s">
        <v>16</v>
      </c>
      <c r="D289" s="1">
        <v>44928</v>
      </c>
      <c r="E289">
        <v>250</v>
      </c>
      <c r="F289">
        <v>15</v>
      </c>
      <c r="G289">
        <v>235</v>
      </c>
      <c r="H289" t="s">
        <v>12</v>
      </c>
      <c r="I289" t="s">
        <v>32</v>
      </c>
    </row>
    <row r="290" spans="1:9" x14ac:dyDescent="0.35">
      <c r="A290" t="s">
        <v>403</v>
      </c>
      <c r="B290" t="s">
        <v>404</v>
      </c>
      <c r="C290" t="s">
        <v>31</v>
      </c>
      <c r="D290" s="1">
        <v>44991</v>
      </c>
      <c r="E290">
        <v>931</v>
      </c>
      <c r="F290">
        <v>353</v>
      </c>
      <c r="G290">
        <v>578</v>
      </c>
      <c r="H290" t="s">
        <v>12</v>
      </c>
      <c r="I290" t="s">
        <v>20</v>
      </c>
    </row>
    <row r="291" spans="1:9" x14ac:dyDescent="0.35">
      <c r="A291" t="s">
        <v>405</v>
      </c>
      <c r="B291" t="s">
        <v>228</v>
      </c>
      <c r="C291" t="s">
        <v>19</v>
      </c>
      <c r="D291" s="1">
        <v>45507</v>
      </c>
      <c r="E291">
        <v>424</v>
      </c>
      <c r="F291">
        <v>146</v>
      </c>
      <c r="G291">
        <v>278</v>
      </c>
      <c r="H291" t="s">
        <v>12</v>
      </c>
      <c r="I291" t="s">
        <v>32</v>
      </c>
    </row>
    <row r="292" spans="1:9" x14ac:dyDescent="0.35">
      <c r="A292" t="s">
        <v>406</v>
      </c>
      <c r="B292" t="s">
        <v>89</v>
      </c>
      <c r="C292" t="s">
        <v>19</v>
      </c>
      <c r="D292" s="1">
        <v>45122</v>
      </c>
      <c r="E292">
        <v>959</v>
      </c>
      <c r="F292">
        <v>526</v>
      </c>
      <c r="G292">
        <v>433</v>
      </c>
      <c r="H292" t="s">
        <v>12</v>
      </c>
      <c r="I292" t="s">
        <v>28</v>
      </c>
    </row>
    <row r="293" spans="1:9" x14ac:dyDescent="0.35">
      <c r="A293" t="s">
        <v>407</v>
      </c>
      <c r="B293" t="s">
        <v>175</v>
      </c>
      <c r="C293" t="s">
        <v>16</v>
      </c>
      <c r="D293" s="1">
        <v>45246</v>
      </c>
      <c r="E293">
        <v>711</v>
      </c>
      <c r="F293">
        <v>173</v>
      </c>
      <c r="G293">
        <v>538</v>
      </c>
      <c r="H293" t="s">
        <v>12</v>
      </c>
      <c r="I293" t="s">
        <v>45</v>
      </c>
    </row>
    <row r="294" spans="1:9" x14ac:dyDescent="0.35">
      <c r="A294" t="s">
        <v>408</v>
      </c>
      <c r="B294" t="s">
        <v>30</v>
      </c>
      <c r="C294" t="s">
        <v>16</v>
      </c>
      <c r="D294" s="1">
        <v>45095</v>
      </c>
      <c r="E294">
        <v>945</v>
      </c>
      <c r="F294">
        <v>775</v>
      </c>
      <c r="G294">
        <v>170</v>
      </c>
      <c r="H294" t="s">
        <v>12</v>
      </c>
      <c r="I294" t="s">
        <v>20</v>
      </c>
    </row>
    <row r="295" spans="1:9" x14ac:dyDescent="0.35">
      <c r="A295" t="s">
        <v>409</v>
      </c>
      <c r="B295" t="s">
        <v>352</v>
      </c>
      <c r="C295" t="s">
        <v>19</v>
      </c>
      <c r="D295" s="1">
        <v>45404</v>
      </c>
      <c r="E295">
        <v>281</v>
      </c>
      <c r="F295">
        <v>118</v>
      </c>
      <c r="G295">
        <v>163</v>
      </c>
      <c r="H295" t="s">
        <v>12</v>
      </c>
      <c r="I295" t="s">
        <v>45</v>
      </c>
    </row>
    <row r="296" spans="1:9" x14ac:dyDescent="0.35">
      <c r="A296" t="s">
        <v>410</v>
      </c>
      <c r="B296" t="s">
        <v>157</v>
      </c>
      <c r="C296" t="s">
        <v>31</v>
      </c>
      <c r="D296" s="1">
        <v>45302</v>
      </c>
      <c r="E296">
        <v>341</v>
      </c>
      <c r="F296">
        <v>30</v>
      </c>
      <c r="G296">
        <v>311</v>
      </c>
      <c r="H296" t="s">
        <v>12</v>
      </c>
      <c r="I296" t="s">
        <v>13</v>
      </c>
    </row>
    <row r="297" spans="1:9" x14ac:dyDescent="0.35">
      <c r="A297" t="s">
        <v>411</v>
      </c>
      <c r="B297" t="s">
        <v>254</v>
      </c>
      <c r="C297" t="s">
        <v>31</v>
      </c>
      <c r="D297" s="1">
        <v>45375</v>
      </c>
      <c r="E297">
        <v>266</v>
      </c>
      <c r="F297">
        <v>104</v>
      </c>
      <c r="G297">
        <v>162</v>
      </c>
      <c r="H297" t="s">
        <v>12</v>
      </c>
      <c r="I297" t="s">
        <v>20</v>
      </c>
    </row>
    <row r="298" spans="1:9" x14ac:dyDescent="0.35">
      <c r="A298" t="s">
        <v>412</v>
      </c>
      <c r="B298" t="s">
        <v>59</v>
      </c>
      <c r="C298" t="s">
        <v>11</v>
      </c>
      <c r="D298" s="1">
        <v>45023</v>
      </c>
      <c r="E298">
        <v>869</v>
      </c>
      <c r="F298">
        <v>589</v>
      </c>
      <c r="G298">
        <v>280</v>
      </c>
      <c r="H298" t="s">
        <v>12</v>
      </c>
      <c r="I298" t="s">
        <v>28</v>
      </c>
    </row>
    <row r="299" spans="1:9" x14ac:dyDescent="0.35">
      <c r="A299" t="s">
        <v>413</v>
      </c>
      <c r="B299" t="s">
        <v>175</v>
      </c>
      <c r="C299" t="s">
        <v>11</v>
      </c>
      <c r="D299" s="1">
        <v>45471</v>
      </c>
      <c r="E299">
        <v>958</v>
      </c>
      <c r="F299">
        <v>332</v>
      </c>
      <c r="G299">
        <v>626</v>
      </c>
      <c r="H299" t="s">
        <v>12</v>
      </c>
      <c r="I299" t="s">
        <v>24</v>
      </c>
    </row>
    <row r="300" spans="1:9" x14ac:dyDescent="0.35">
      <c r="A300" t="s">
        <v>414</v>
      </c>
      <c r="B300" t="s">
        <v>113</v>
      </c>
      <c r="C300" t="s">
        <v>27</v>
      </c>
      <c r="D300" s="1">
        <v>44976</v>
      </c>
      <c r="E300">
        <v>258</v>
      </c>
      <c r="F300">
        <v>199</v>
      </c>
      <c r="G300">
        <v>59</v>
      </c>
      <c r="H300" t="s">
        <v>12</v>
      </c>
      <c r="I300" t="s">
        <v>13</v>
      </c>
    </row>
    <row r="301" spans="1:9" x14ac:dyDescent="0.35">
      <c r="A301" t="s">
        <v>415</v>
      </c>
      <c r="B301" t="s">
        <v>216</v>
      </c>
      <c r="C301" t="s">
        <v>27</v>
      </c>
      <c r="D301" s="1">
        <v>44993</v>
      </c>
      <c r="E301">
        <v>772</v>
      </c>
      <c r="F301">
        <v>707</v>
      </c>
      <c r="G301">
        <v>65</v>
      </c>
      <c r="H301" t="s">
        <v>12</v>
      </c>
      <c r="I301" t="s">
        <v>24</v>
      </c>
    </row>
    <row r="302" spans="1:9" x14ac:dyDescent="0.35">
      <c r="A302" t="s">
        <v>416</v>
      </c>
      <c r="B302" t="s">
        <v>72</v>
      </c>
      <c r="C302" t="s">
        <v>27</v>
      </c>
      <c r="D302" s="1">
        <v>45133</v>
      </c>
      <c r="E302">
        <v>146</v>
      </c>
      <c r="F302">
        <v>42</v>
      </c>
      <c r="G302">
        <v>104</v>
      </c>
      <c r="H302" t="s">
        <v>12</v>
      </c>
      <c r="I302" t="s">
        <v>32</v>
      </c>
    </row>
    <row r="303" spans="1:9" x14ac:dyDescent="0.35">
      <c r="A303" t="s">
        <v>417</v>
      </c>
      <c r="B303" t="s">
        <v>418</v>
      </c>
      <c r="C303" t="s">
        <v>19</v>
      </c>
      <c r="D303" s="1">
        <v>45186</v>
      </c>
      <c r="E303">
        <v>883</v>
      </c>
      <c r="F303">
        <v>653</v>
      </c>
      <c r="G303">
        <v>230</v>
      </c>
      <c r="H303" t="s">
        <v>12</v>
      </c>
      <c r="I303" t="s">
        <v>13</v>
      </c>
    </row>
    <row r="304" spans="1:9" x14ac:dyDescent="0.35">
      <c r="A304" t="s">
        <v>419</v>
      </c>
      <c r="B304" t="s">
        <v>132</v>
      </c>
      <c r="C304" t="s">
        <v>27</v>
      </c>
      <c r="D304" s="1">
        <v>45037</v>
      </c>
      <c r="E304">
        <v>473</v>
      </c>
      <c r="F304">
        <v>429</v>
      </c>
      <c r="G304">
        <v>44</v>
      </c>
      <c r="H304" t="s">
        <v>12</v>
      </c>
      <c r="I304" t="s">
        <v>13</v>
      </c>
    </row>
    <row r="305" spans="1:9" x14ac:dyDescent="0.35">
      <c r="A305" t="s">
        <v>420</v>
      </c>
      <c r="B305" t="s">
        <v>161</v>
      </c>
      <c r="C305" t="s">
        <v>31</v>
      </c>
      <c r="D305" s="1">
        <v>45401</v>
      </c>
      <c r="E305">
        <v>669</v>
      </c>
      <c r="F305">
        <v>505</v>
      </c>
      <c r="G305">
        <v>164</v>
      </c>
      <c r="H305" t="s">
        <v>12</v>
      </c>
      <c r="I305" t="s">
        <v>45</v>
      </c>
    </row>
    <row r="306" spans="1:9" x14ac:dyDescent="0.35">
      <c r="A306" t="s">
        <v>421</v>
      </c>
      <c r="B306" t="s">
        <v>22</v>
      </c>
      <c r="C306" t="s">
        <v>11</v>
      </c>
      <c r="D306" s="1">
        <v>45073</v>
      </c>
      <c r="E306">
        <v>590</v>
      </c>
      <c r="F306">
        <v>250</v>
      </c>
      <c r="G306">
        <v>340</v>
      </c>
      <c r="H306" t="s">
        <v>12</v>
      </c>
      <c r="I306" t="s">
        <v>28</v>
      </c>
    </row>
    <row r="307" spans="1:9" x14ac:dyDescent="0.35">
      <c r="A307" t="s">
        <v>422</v>
      </c>
      <c r="B307" t="s">
        <v>357</v>
      </c>
      <c r="C307" t="s">
        <v>16</v>
      </c>
      <c r="D307" s="1">
        <v>45186</v>
      </c>
      <c r="E307">
        <v>209</v>
      </c>
      <c r="F307">
        <v>53</v>
      </c>
      <c r="G307">
        <v>156</v>
      </c>
      <c r="H307" t="s">
        <v>12</v>
      </c>
      <c r="I307" t="s">
        <v>13</v>
      </c>
    </row>
    <row r="308" spans="1:9" x14ac:dyDescent="0.35">
      <c r="A308" t="s">
        <v>423</v>
      </c>
      <c r="B308" t="s">
        <v>424</v>
      </c>
      <c r="C308" t="s">
        <v>16</v>
      </c>
      <c r="D308" s="1">
        <v>44935</v>
      </c>
      <c r="E308">
        <v>595</v>
      </c>
      <c r="F308">
        <v>278</v>
      </c>
      <c r="G308">
        <v>317</v>
      </c>
      <c r="H308" t="s">
        <v>12</v>
      </c>
      <c r="I308" t="s">
        <v>24</v>
      </c>
    </row>
    <row r="309" spans="1:9" x14ac:dyDescent="0.35">
      <c r="A309" t="s">
        <v>425</v>
      </c>
      <c r="B309" t="s">
        <v>67</v>
      </c>
      <c r="C309" t="s">
        <v>16</v>
      </c>
      <c r="D309" s="1">
        <v>45443</v>
      </c>
      <c r="E309">
        <v>722</v>
      </c>
      <c r="F309">
        <v>582</v>
      </c>
      <c r="G309">
        <v>140</v>
      </c>
      <c r="H309" t="s">
        <v>12</v>
      </c>
      <c r="I309" t="s">
        <v>24</v>
      </c>
    </row>
    <row r="310" spans="1:9" x14ac:dyDescent="0.35">
      <c r="A310" t="s">
        <v>426</v>
      </c>
      <c r="B310" t="s">
        <v>93</v>
      </c>
      <c r="C310" t="s">
        <v>27</v>
      </c>
      <c r="D310" s="1">
        <v>45403</v>
      </c>
      <c r="E310">
        <v>755</v>
      </c>
      <c r="F310">
        <v>374</v>
      </c>
      <c r="G310">
        <v>381</v>
      </c>
      <c r="H310" t="s">
        <v>12</v>
      </c>
      <c r="I310" t="s">
        <v>13</v>
      </c>
    </row>
    <row r="311" spans="1:9" x14ac:dyDescent="0.35">
      <c r="A311" t="s">
        <v>427</v>
      </c>
      <c r="B311" t="s">
        <v>259</v>
      </c>
      <c r="C311" t="s">
        <v>16</v>
      </c>
      <c r="D311" s="1">
        <v>45360</v>
      </c>
      <c r="E311">
        <v>768</v>
      </c>
      <c r="F311">
        <v>705</v>
      </c>
      <c r="G311">
        <v>63</v>
      </c>
      <c r="H311" t="s">
        <v>12</v>
      </c>
      <c r="I311" t="s">
        <v>32</v>
      </c>
    </row>
    <row r="312" spans="1:9" x14ac:dyDescent="0.35">
      <c r="A312" t="s">
        <v>428</v>
      </c>
      <c r="B312" t="s">
        <v>109</v>
      </c>
      <c r="C312" t="s">
        <v>19</v>
      </c>
      <c r="D312" s="1">
        <v>45363</v>
      </c>
      <c r="E312">
        <v>437</v>
      </c>
      <c r="F312">
        <v>121</v>
      </c>
      <c r="G312">
        <v>316</v>
      </c>
      <c r="H312" t="s">
        <v>12</v>
      </c>
      <c r="I312" t="s">
        <v>24</v>
      </c>
    </row>
    <row r="313" spans="1:9" x14ac:dyDescent="0.35">
      <c r="A313" t="s">
        <v>429</v>
      </c>
      <c r="B313" t="s">
        <v>322</v>
      </c>
      <c r="C313" t="s">
        <v>19</v>
      </c>
      <c r="D313" s="1">
        <v>45127</v>
      </c>
      <c r="E313">
        <v>116</v>
      </c>
      <c r="F313">
        <v>55</v>
      </c>
      <c r="G313">
        <v>61</v>
      </c>
      <c r="H313" t="s">
        <v>12</v>
      </c>
      <c r="I313" t="s">
        <v>32</v>
      </c>
    </row>
    <row r="314" spans="1:9" x14ac:dyDescent="0.35">
      <c r="A314" t="s">
        <v>430</v>
      </c>
      <c r="B314" t="s">
        <v>192</v>
      </c>
      <c r="C314" t="s">
        <v>23</v>
      </c>
      <c r="D314" s="1">
        <v>45131</v>
      </c>
      <c r="E314">
        <v>310</v>
      </c>
      <c r="F314">
        <v>78</v>
      </c>
      <c r="G314">
        <v>232</v>
      </c>
      <c r="H314" t="s">
        <v>12</v>
      </c>
      <c r="I314" t="s">
        <v>13</v>
      </c>
    </row>
    <row r="315" spans="1:9" x14ac:dyDescent="0.35">
      <c r="A315" t="s">
        <v>431</v>
      </c>
      <c r="B315" t="s">
        <v>155</v>
      </c>
      <c r="C315" t="s">
        <v>27</v>
      </c>
      <c r="D315" s="1">
        <v>45255</v>
      </c>
      <c r="E315">
        <v>376</v>
      </c>
      <c r="F315">
        <v>28</v>
      </c>
      <c r="G315">
        <v>348</v>
      </c>
      <c r="H315" t="s">
        <v>12</v>
      </c>
      <c r="I315" t="s">
        <v>24</v>
      </c>
    </row>
    <row r="316" spans="1:9" x14ac:dyDescent="0.35">
      <c r="A316" t="s">
        <v>432</v>
      </c>
      <c r="B316" t="s">
        <v>125</v>
      </c>
      <c r="C316" t="s">
        <v>27</v>
      </c>
      <c r="D316" s="1">
        <v>45215</v>
      </c>
      <c r="E316">
        <v>542</v>
      </c>
      <c r="F316">
        <v>467</v>
      </c>
      <c r="G316">
        <v>75</v>
      </c>
      <c r="H316" t="s">
        <v>12</v>
      </c>
      <c r="I316" t="s">
        <v>32</v>
      </c>
    </row>
    <row r="317" spans="1:9" x14ac:dyDescent="0.35">
      <c r="A317" t="s">
        <v>433</v>
      </c>
      <c r="B317" t="s">
        <v>384</v>
      </c>
      <c r="C317" t="s">
        <v>11</v>
      </c>
      <c r="D317" s="1">
        <v>45327</v>
      </c>
      <c r="E317">
        <v>600</v>
      </c>
      <c r="F317">
        <v>425</v>
      </c>
      <c r="G317">
        <v>175</v>
      </c>
      <c r="H317" t="s">
        <v>12</v>
      </c>
      <c r="I317" t="s">
        <v>32</v>
      </c>
    </row>
    <row r="318" spans="1:9" x14ac:dyDescent="0.35">
      <c r="A318" t="s">
        <v>434</v>
      </c>
      <c r="B318" t="s">
        <v>54</v>
      </c>
      <c r="C318" t="s">
        <v>19</v>
      </c>
      <c r="D318" s="1">
        <v>45041</v>
      </c>
      <c r="E318">
        <v>947</v>
      </c>
      <c r="F318">
        <v>759</v>
      </c>
      <c r="G318">
        <v>188</v>
      </c>
      <c r="H318" t="s">
        <v>12</v>
      </c>
      <c r="I318" t="s">
        <v>28</v>
      </c>
    </row>
    <row r="319" spans="1:9" x14ac:dyDescent="0.35">
      <c r="A319" t="s">
        <v>435</v>
      </c>
      <c r="B319" t="s">
        <v>26</v>
      </c>
      <c r="C319" t="s">
        <v>27</v>
      </c>
      <c r="D319" s="1">
        <v>45115</v>
      </c>
      <c r="E319">
        <v>317</v>
      </c>
      <c r="F319">
        <v>169</v>
      </c>
      <c r="G319">
        <v>148</v>
      </c>
      <c r="H319" t="s">
        <v>12</v>
      </c>
      <c r="I319" t="s">
        <v>32</v>
      </c>
    </row>
    <row r="320" spans="1:9" x14ac:dyDescent="0.35">
      <c r="A320" t="s">
        <v>436</v>
      </c>
      <c r="B320" t="s">
        <v>418</v>
      </c>
      <c r="C320" t="s">
        <v>11</v>
      </c>
      <c r="D320" s="1">
        <v>45408</v>
      </c>
      <c r="E320">
        <v>540</v>
      </c>
      <c r="F320">
        <v>92</v>
      </c>
      <c r="G320">
        <v>448</v>
      </c>
      <c r="H320" t="s">
        <v>12</v>
      </c>
      <c r="I320" t="s">
        <v>24</v>
      </c>
    </row>
    <row r="321" spans="1:9" x14ac:dyDescent="0.35">
      <c r="A321" t="s">
        <v>437</v>
      </c>
      <c r="B321" t="s">
        <v>130</v>
      </c>
      <c r="C321" t="s">
        <v>31</v>
      </c>
      <c r="D321" s="1">
        <v>45379</v>
      </c>
      <c r="E321">
        <v>291</v>
      </c>
      <c r="F321">
        <v>176</v>
      </c>
      <c r="G321">
        <v>115</v>
      </c>
      <c r="H321" t="s">
        <v>12</v>
      </c>
      <c r="I321" t="s">
        <v>20</v>
      </c>
    </row>
    <row r="322" spans="1:9" x14ac:dyDescent="0.35">
      <c r="A322" t="s">
        <v>438</v>
      </c>
      <c r="B322" t="s">
        <v>113</v>
      </c>
      <c r="C322" t="s">
        <v>11</v>
      </c>
      <c r="D322" s="1">
        <v>45485</v>
      </c>
      <c r="E322">
        <v>286</v>
      </c>
      <c r="F322">
        <v>27</v>
      </c>
      <c r="G322">
        <v>259</v>
      </c>
      <c r="H322" t="s">
        <v>12</v>
      </c>
      <c r="I322" t="s">
        <v>24</v>
      </c>
    </row>
    <row r="323" spans="1:9" x14ac:dyDescent="0.35">
      <c r="A323" t="s">
        <v>439</v>
      </c>
      <c r="B323" t="s">
        <v>106</v>
      </c>
      <c r="C323" t="s">
        <v>19</v>
      </c>
      <c r="D323" s="1">
        <v>45472</v>
      </c>
      <c r="E323">
        <v>264</v>
      </c>
      <c r="F323">
        <v>260</v>
      </c>
      <c r="G323">
        <v>4</v>
      </c>
      <c r="H323" t="s">
        <v>12</v>
      </c>
      <c r="I323" t="s">
        <v>32</v>
      </c>
    </row>
    <row r="324" spans="1:9" x14ac:dyDescent="0.35">
      <c r="A324" t="s">
        <v>440</v>
      </c>
      <c r="B324" t="s">
        <v>189</v>
      </c>
      <c r="C324" t="s">
        <v>19</v>
      </c>
      <c r="D324" s="1">
        <v>45119</v>
      </c>
      <c r="E324">
        <v>698</v>
      </c>
      <c r="F324">
        <v>355</v>
      </c>
      <c r="G324">
        <v>343</v>
      </c>
      <c r="H324" t="s">
        <v>12</v>
      </c>
      <c r="I324" t="s">
        <v>13</v>
      </c>
    </row>
    <row r="325" spans="1:9" x14ac:dyDescent="0.35">
      <c r="A325" t="s">
        <v>441</v>
      </c>
      <c r="B325" t="s">
        <v>238</v>
      </c>
      <c r="C325" t="s">
        <v>16</v>
      </c>
      <c r="D325" s="1">
        <v>44980</v>
      </c>
      <c r="E325">
        <v>473</v>
      </c>
      <c r="F325">
        <v>417</v>
      </c>
      <c r="G325">
        <v>56</v>
      </c>
      <c r="H325" t="s">
        <v>12</v>
      </c>
      <c r="I325" t="s">
        <v>20</v>
      </c>
    </row>
    <row r="326" spans="1:9" x14ac:dyDescent="0.35">
      <c r="A326" t="s">
        <v>442</v>
      </c>
      <c r="B326" t="s">
        <v>178</v>
      </c>
      <c r="C326" t="s">
        <v>27</v>
      </c>
      <c r="D326" s="1">
        <v>45024</v>
      </c>
      <c r="E326">
        <v>884</v>
      </c>
      <c r="F326">
        <v>394</v>
      </c>
      <c r="G326">
        <v>490</v>
      </c>
      <c r="H326" t="s">
        <v>12</v>
      </c>
      <c r="I326" t="s">
        <v>24</v>
      </c>
    </row>
    <row r="327" spans="1:9" x14ac:dyDescent="0.35">
      <c r="A327" t="s">
        <v>443</v>
      </c>
      <c r="B327" t="s">
        <v>195</v>
      </c>
      <c r="C327" t="s">
        <v>19</v>
      </c>
      <c r="D327" s="1">
        <v>45358</v>
      </c>
      <c r="E327">
        <v>531</v>
      </c>
      <c r="F327">
        <v>388</v>
      </c>
      <c r="G327">
        <v>143</v>
      </c>
      <c r="H327" t="s">
        <v>12</v>
      </c>
      <c r="I327" t="s">
        <v>32</v>
      </c>
    </row>
    <row r="328" spans="1:9" x14ac:dyDescent="0.35">
      <c r="A328" t="s">
        <v>444</v>
      </c>
      <c r="B328" t="s">
        <v>375</v>
      </c>
      <c r="C328" t="s">
        <v>19</v>
      </c>
      <c r="D328" s="1">
        <v>45418</v>
      </c>
      <c r="E328">
        <v>279</v>
      </c>
      <c r="F328">
        <v>180</v>
      </c>
      <c r="G328">
        <v>99</v>
      </c>
      <c r="H328" t="s">
        <v>12</v>
      </c>
      <c r="I328" t="s">
        <v>24</v>
      </c>
    </row>
    <row r="329" spans="1:9" x14ac:dyDescent="0.35">
      <c r="A329" t="s">
        <v>445</v>
      </c>
      <c r="B329" t="s">
        <v>157</v>
      </c>
      <c r="C329" t="s">
        <v>19</v>
      </c>
      <c r="D329" s="1">
        <v>45017</v>
      </c>
      <c r="E329">
        <v>559</v>
      </c>
      <c r="F329">
        <v>318</v>
      </c>
      <c r="G329">
        <v>241</v>
      </c>
      <c r="H329" t="s">
        <v>12</v>
      </c>
      <c r="I329" t="s">
        <v>13</v>
      </c>
    </row>
    <row r="330" spans="1:9" x14ac:dyDescent="0.35">
      <c r="A330" t="s">
        <v>446</v>
      </c>
      <c r="B330" t="s">
        <v>80</v>
      </c>
      <c r="C330" t="s">
        <v>11</v>
      </c>
      <c r="D330" s="1">
        <v>44965</v>
      </c>
      <c r="E330">
        <v>161</v>
      </c>
      <c r="F330">
        <v>2</v>
      </c>
      <c r="G330">
        <v>159</v>
      </c>
      <c r="H330" t="s">
        <v>12</v>
      </c>
      <c r="I330" t="s">
        <v>32</v>
      </c>
    </row>
    <row r="331" spans="1:9" x14ac:dyDescent="0.35">
      <c r="A331" t="s">
        <v>447</v>
      </c>
      <c r="B331" t="s">
        <v>85</v>
      </c>
      <c r="C331" t="s">
        <v>16</v>
      </c>
      <c r="D331" s="1">
        <v>45243</v>
      </c>
      <c r="E331">
        <v>981</v>
      </c>
      <c r="F331">
        <v>209</v>
      </c>
      <c r="G331">
        <v>772</v>
      </c>
      <c r="H331" t="s">
        <v>12</v>
      </c>
      <c r="I331" t="s">
        <v>45</v>
      </c>
    </row>
    <row r="332" spans="1:9" x14ac:dyDescent="0.35">
      <c r="A332" t="s">
        <v>448</v>
      </c>
      <c r="B332" t="s">
        <v>424</v>
      </c>
      <c r="C332" t="s">
        <v>23</v>
      </c>
      <c r="D332" s="1">
        <v>45455</v>
      </c>
      <c r="E332">
        <v>270</v>
      </c>
      <c r="F332">
        <v>239</v>
      </c>
      <c r="G332">
        <v>31</v>
      </c>
      <c r="H332" t="s">
        <v>12</v>
      </c>
      <c r="I332" t="s">
        <v>32</v>
      </c>
    </row>
    <row r="333" spans="1:9" x14ac:dyDescent="0.35">
      <c r="A333" t="s">
        <v>449</v>
      </c>
      <c r="B333" t="s">
        <v>424</v>
      </c>
      <c r="C333" t="s">
        <v>11</v>
      </c>
      <c r="D333" s="1">
        <v>45524</v>
      </c>
      <c r="E333">
        <v>227</v>
      </c>
      <c r="F333">
        <v>110</v>
      </c>
      <c r="G333">
        <v>117</v>
      </c>
      <c r="H333" t="s">
        <v>12</v>
      </c>
      <c r="I333" t="s">
        <v>20</v>
      </c>
    </row>
    <row r="334" spans="1:9" x14ac:dyDescent="0.35">
      <c r="A334" t="s">
        <v>450</v>
      </c>
      <c r="B334" t="s">
        <v>26</v>
      </c>
      <c r="C334" t="s">
        <v>19</v>
      </c>
      <c r="D334" s="1">
        <v>45152</v>
      </c>
      <c r="E334">
        <v>865</v>
      </c>
      <c r="F334">
        <v>115</v>
      </c>
      <c r="G334">
        <v>750</v>
      </c>
      <c r="H334" t="s">
        <v>12</v>
      </c>
      <c r="I334" t="s">
        <v>13</v>
      </c>
    </row>
    <row r="335" spans="1:9" x14ac:dyDescent="0.35">
      <c r="A335" t="s">
        <v>451</v>
      </c>
      <c r="B335" t="s">
        <v>91</v>
      </c>
      <c r="C335" t="s">
        <v>23</v>
      </c>
      <c r="D335" s="1">
        <v>45246</v>
      </c>
      <c r="E335">
        <v>562</v>
      </c>
      <c r="F335">
        <v>212</v>
      </c>
      <c r="G335">
        <v>350</v>
      </c>
      <c r="H335" t="s">
        <v>12</v>
      </c>
      <c r="I335" t="s">
        <v>13</v>
      </c>
    </row>
    <row r="336" spans="1:9" x14ac:dyDescent="0.35">
      <c r="A336" t="s">
        <v>452</v>
      </c>
      <c r="B336" t="s">
        <v>171</v>
      </c>
      <c r="C336" t="s">
        <v>16</v>
      </c>
      <c r="D336" s="1">
        <v>45479</v>
      </c>
      <c r="E336">
        <v>123</v>
      </c>
      <c r="F336">
        <v>85</v>
      </c>
      <c r="G336">
        <v>38</v>
      </c>
      <c r="H336" t="s">
        <v>12</v>
      </c>
      <c r="I336" t="s">
        <v>24</v>
      </c>
    </row>
    <row r="337" spans="1:9" x14ac:dyDescent="0.35">
      <c r="A337" t="s">
        <v>453</v>
      </c>
      <c r="B337" t="s">
        <v>265</v>
      </c>
      <c r="C337" t="s">
        <v>23</v>
      </c>
      <c r="D337" s="1">
        <v>45160</v>
      </c>
      <c r="E337">
        <v>780</v>
      </c>
      <c r="F337">
        <v>646</v>
      </c>
      <c r="G337">
        <v>134</v>
      </c>
      <c r="H337" t="s">
        <v>12</v>
      </c>
      <c r="I337" t="s">
        <v>20</v>
      </c>
    </row>
    <row r="338" spans="1:9" x14ac:dyDescent="0.35">
      <c r="A338" t="s">
        <v>454</v>
      </c>
      <c r="B338" t="s">
        <v>357</v>
      </c>
      <c r="C338" t="s">
        <v>16</v>
      </c>
      <c r="D338" s="1">
        <v>44959</v>
      </c>
      <c r="E338">
        <v>100</v>
      </c>
      <c r="F338">
        <v>17</v>
      </c>
      <c r="G338">
        <v>83</v>
      </c>
      <c r="H338" t="s">
        <v>12</v>
      </c>
      <c r="I338" t="s">
        <v>32</v>
      </c>
    </row>
    <row r="339" spans="1:9" x14ac:dyDescent="0.35">
      <c r="A339" t="s">
        <v>455</v>
      </c>
      <c r="B339" t="s">
        <v>80</v>
      </c>
      <c r="C339" t="s">
        <v>16</v>
      </c>
      <c r="D339" s="1">
        <v>45383</v>
      </c>
      <c r="E339">
        <v>810</v>
      </c>
      <c r="F339">
        <v>350</v>
      </c>
      <c r="G339">
        <v>460</v>
      </c>
      <c r="H339" t="s">
        <v>12</v>
      </c>
      <c r="I339" t="s">
        <v>45</v>
      </c>
    </row>
    <row r="340" spans="1:9" x14ac:dyDescent="0.35">
      <c r="A340" t="s">
        <v>456</v>
      </c>
      <c r="B340" t="s">
        <v>89</v>
      </c>
      <c r="C340" t="s">
        <v>23</v>
      </c>
      <c r="D340" s="1">
        <v>45488</v>
      </c>
      <c r="E340">
        <v>821</v>
      </c>
      <c r="F340">
        <v>566</v>
      </c>
      <c r="G340">
        <v>255</v>
      </c>
      <c r="H340" t="s">
        <v>12</v>
      </c>
      <c r="I340" t="s">
        <v>32</v>
      </c>
    </row>
    <row r="341" spans="1:9" x14ac:dyDescent="0.35">
      <c r="A341" t="s">
        <v>457</v>
      </c>
      <c r="B341" t="s">
        <v>186</v>
      </c>
      <c r="C341" t="s">
        <v>23</v>
      </c>
      <c r="D341" s="1">
        <v>45217</v>
      </c>
      <c r="E341">
        <v>771</v>
      </c>
      <c r="F341">
        <v>407</v>
      </c>
      <c r="G341">
        <v>364</v>
      </c>
      <c r="H341" t="s">
        <v>12</v>
      </c>
      <c r="I341" t="s">
        <v>45</v>
      </c>
    </row>
    <row r="342" spans="1:9" x14ac:dyDescent="0.35">
      <c r="A342" t="s">
        <v>458</v>
      </c>
      <c r="B342" t="s">
        <v>48</v>
      </c>
      <c r="C342" t="s">
        <v>23</v>
      </c>
      <c r="D342" s="1">
        <v>45256</v>
      </c>
      <c r="E342">
        <v>851</v>
      </c>
      <c r="F342">
        <v>840</v>
      </c>
      <c r="G342">
        <v>11</v>
      </c>
      <c r="H342" t="s">
        <v>12</v>
      </c>
      <c r="I342" t="s">
        <v>45</v>
      </c>
    </row>
    <row r="343" spans="1:9" x14ac:dyDescent="0.35">
      <c r="A343" t="s">
        <v>459</v>
      </c>
      <c r="B343" t="s">
        <v>54</v>
      </c>
      <c r="C343" t="s">
        <v>27</v>
      </c>
      <c r="D343" s="1">
        <v>45418</v>
      </c>
      <c r="E343">
        <v>171</v>
      </c>
      <c r="F343">
        <v>122</v>
      </c>
      <c r="G343">
        <v>49</v>
      </c>
      <c r="H343" t="s">
        <v>12</v>
      </c>
      <c r="I343" t="s">
        <v>32</v>
      </c>
    </row>
    <row r="344" spans="1:9" x14ac:dyDescent="0.35">
      <c r="A344" t="s">
        <v>460</v>
      </c>
      <c r="B344" t="s">
        <v>109</v>
      </c>
      <c r="C344" t="s">
        <v>16</v>
      </c>
      <c r="D344" s="1">
        <v>45361</v>
      </c>
      <c r="E344">
        <v>697</v>
      </c>
      <c r="F344">
        <v>44</v>
      </c>
      <c r="G344">
        <v>653</v>
      </c>
      <c r="H344" t="s">
        <v>12</v>
      </c>
      <c r="I344" t="s">
        <v>45</v>
      </c>
    </row>
    <row r="345" spans="1:9" x14ac:dyDescent="0.35">
      <c r="A345" t="s">
        <v>461</v>
      </c>
      <c r="B345" t="s">
        <v>206</v>
      </c>
      <c r="C345" t="s">
        <v>19</v>
      </c>
      <c r="D345" s="1">
        <v>45350</v>
      </c>
      <c r="E345">
        <v>150</v>
      </c>
      <c r="F345">
        <v>88</v>
      </c>
      <c r="G345">
        <v>62</v>
      </c>
      <c r="H345" t="s">
        <v>12</v>
      </c>
      <c r="I345" t="s">
        <v>24</v>
      </c>
    </row>
    <row r="346" spans="1:9" x14ac:dyDescent="0.35">
      <c r="A346" t="s">
        <v>462</v>
      </c>
      <c r="B346" t="s">
        <v>189</v>
      </c>
      <c r="C346" t="s">
        <v>11</v>
      </c>
      <c r="D346" s="1">
        <v>45381</v>
      </c>
      <c r="E346">
        <v>495</v>
      </c>
      <c r="F346">
        <v>171</v>
      </c>
      <c r="G346">
        <v>324</v>
      </c>
      <c r="H346" t="s">
        <v>12</v>
      </c>
      <c r="I346" t="s">
        <v>45</v>
      </c>
    </row>
    <row r="347" spans="1:9" x14ac:dyDescent="0.35">
      <c r="A347" t="s">
        <v>463</v>
      </c>
      <c r="B347" t="s">
        <v>464</v>
      </c>
      <c r="C347" t="s">
        <v>23</v>
      </c>
      <c r="D347" s="1">
        <v>45247</v>
      </c>
      <c r="E347">
        <v>434</v>
      </c>
      <c r="F347">
        <v>163</v>
      </c>
      <c r="G347">
        <v>271</v>
      </c>
      <c r="H347" t="s">
        <v>12</v>
      </c>
      <c r="I347" t="s">
        <v>24</v>
      </c>
    </row>
    <row r="348" spans="1:9" x14ac:dyDescent="0.35">
      <c r="A348" t="s">
        <v>465</v>
      </c>
      <c r="B348" t="s">
        <v>375</v>
      </c>
      <c r="C348" t="s">
        <v>11</v>
      </c>
      <c r="D348" s="1">
        <v>45417</v>
      </c>
      <c r="E348">
        <v>249</v>
      </c>
      <c r="F348">
        <v>157</v>
      </c>
      <c r="G348">
        <v>92</v>
      </c>
      <c r="H348" t="s">
        <v>12</v>
      </c>
      <c r="I348" t="s">
        <v>20</v>
      </c>
    </row>
    <row r="349" spans="1:9" x14ac:dyDescent="0.35">
      <c r="A349" t="s">
        <v>466</v>
      </c>
      <c r="B349" t="s">
        <v>96</v>
      </c>
      <c r="C349" t="s">
        <v>11</v>
      </c>
      <c r="D349" s="1">
        <v>45034</v>
      </c>
      <c r="E349">
        <v>748</v>
      </c>
      <c r="F349">
        <v>603</v>
      </c>
      <c r="G349">
        <v>145</v>
      </c>
      <c r="H349" t="s">
        <v>12</v>
      </c>
      <c r="I349" t="s">
        <v>45</v>
      </c>
    </row>
    <row r="350" spans="1:9" x14ac:dyDescent="0.35">
      <c r="A350" t="s">
        <v>467</v>
      </c>
      <c r="B350" t="s">
        <v>140</v>
      </c>
      <c r="C350" t="s">
        <v>11</v>
      </c>
      <c r="D350" s="1">
        <v>44968</v>
      </c>
      <c r="E350">
        <v>756</v>
      </c>
      <c r="F350">
        <v>452</v>
      </c>
      <c r="G350">
        <v>304</v>
      </c>
      <c r="H350" t="s">
        <v>12</v>
      </c>
      <c r="I350" t="s">
        <v>28</v>
      </c>
    </row>
    <row r="351" spans="1:9" x14ac:dyDescent="0.35">
      <c r="A351" t="s">
        <v>468</v>
      </c>
      <c r="B351" t="s">
        <v>469</v>
      </c>
      <c r="C351" t="s">
        <v>11</v>
      </c>
      <c r="D351" s="1">
        <v>45466</v>
      </c>
      <c r="E351">
        <v>397</v>
      </c>
      <c r="F351">
        <v>5</v>
      </c>
      <c r="G351">
        <v>392</v>
      </c>
      <c r="H351" t="s">
        <v>12</v>
      </c>
      <c r="I351" t="s">
        <v>45</v>
      </c>
    </row>
    <row r="352" spans="1:9" x14ac:dyDescent="0.35">
      <c r="A352" t="s">
        <v>470</v>
      </c>
      <c r="B352" t="s">
        <v>42</v>
      </c>
      <c r="C352" t="s">
        <v>16</v>
      </c>
      <c r="D352" s="1">
        <v>45109</v>
      </c>
      <c r="E352">
        <v>651</v>
      </c>
      <c r="F352">
        <v>426</v>
      </c>
      <c r="G352">
        <v>225</v>
      </c>
      <c r="H352" t="s">
        <v>12</v>
      </c>
      <c r="I352" t="s">
        <v>20</v>
      </c>
    </row>
    <row r="353" spans="1:9" x14ac:dyDescent="0.35">
      <c r="A353" t="s">
        <v>471</v>
      </c>
      <c r="B353" t="s">
        <v>223</v>
      </c>
      <c r="C353" t="s">
        <v>11</v>
      </c>
      <c r="D353" s="1">
        <v>45248</v>
      </c>
      <c r="E353">
        <v>265</v>
      </c>
      <c r="F353">
        <v>39</v>
      </c>
      <c r="G353">
        <v>226</v>
      </c>
      <c r="H353" t="s">
        <v>12</v>
      </c>
      <c r="I353" t="s">
        <v>13</v>
      </c>
    </row>
    <row r="354" spans="1:9" x14ac:dyDescent="0.35">
      <c r="A354" t="s">
        <v>472</v>
      </c>
      <c r="B354" t="s">
        <v>93</v>
      </c>
      <c r="C354" t="s">
        <v>11</v>
      </c>
      <c r="D354" s="1">
        <v>45294</v>
      </c>
      <c r="E354">
        <v>113</v>
      </c>
      <c r="F354">
        <v>33</v>
      </c>
      <c r="G354">
        <v>80</v>
      </c>
      <c r="H354" t="s">
        <v>12</v>
      </c>
      <c r="I354" t="s">
        <v>28</v>
      </c>
    </row>
    <row r="355" spans="1:9" x14ac:dyDescent="0.35">
      <c r="A355" t="s">
        <v>473</v>
      </c>
      <c r="B355" t="s">
        <v>216</v>
      </c>
      <c r="C355" t="s">
        <v>19</v>
      </c>
      <c r="D355" s="1">
        <v>45375</v>
      </c>
      <c r="E355">
        <v>539</v>
      </c>
      <c r="F355">
        <v>9</v>
      </c>
      <c r="G355">
        <v>530</v>
      </c>
      <c r="H355" t="s">
        <v>12</v>
      </c>
      <c r="I355" t="s">
        <v>45</v>
      </c>
    </row>
    <row r="356" spans="1:9" x14ac:dyDescent="0.35">
      <c r="A356" t="s">
        <v>474</v>
      </c>
      <c r="B356" t="s">
        <v>67</v>
      </c>
      <c r="C356" t="s">
        <v>23</v>
      </c>
      <c r="D356" s="1">
        <v>45526</v>
      </c>
      <c r="E356">
        <v>660</v>
      </c>
      <c r="F356">
        <v>283</v>
      </c>
      <c r="G356">
        <v>377</v>
      </c>
      <c r="H356" t="s">
        <v>12</v>
      </c>
      <c r="I356" t="s">
        <v>45</v>
      </c>
    </row>
    <row r="357" spans="1:9" x14ac:dyDescent="0.35">
      <c r="A357" t="s">
        <v>475</v>
      </c>
      <c r="B357" t="s">
        <v>85</v>
      </c>
      <c r="C357" t="s">
        <v>31</v>
      </c>
      <c r="D357" s="1">
        <v>45445</v>
      </c>
      <c r="E357">
        <v>705</v>
      </c>
      <c r="F357">
        <v>631</v>
      </c>
      <c r="G357">
        <v>74</v>
      </c>
      <c r="H357" t="s">
        <v>12</v>
      </c>
      <c r="I357" t="s">
        <v>32</v>
      </c>
    </row>
    <row r="358" spans="1:9" x14ac:dyDescent="0.35">
      <c r="A358" t="s">
        <v>476</v>
      </c>
      <c r="B358" t="s">
        <v>384</v>
      </c>
      <c r="C358" t="s">
        <v>19</v>
      </c>
      <c r="D358" s="1">
        <v>45404</v>
      </c>
      <c r="E358">
        <v>457</v>
      </c>
      <c r="F358">
        <v>276</v>
      </c>
      <c r="G358">
        <v>181</v>
      </c>
      <c r="H358" t="s">
        <v>12</v>
      </c>
      <c r="I358" t="s">
        <v>20</v>
      </c>
    </row>
    <row r="359" spans="1:9" x14ac:dyDescent="0.35">
      <c r="A359" t="s">
        <v>477</v>
      </c>
      <c r="B359" t="s">
        <v>478</v>
      </c>
      <c r="C359" t="s">
        <v>16</v>
      </c>
      <c r="D359" s="1">
        <v>45153</v>
      </c>
      <c r="E359">
        <v>910</v>
      </c>
      <c r="F359">
        <v>461</v>
      </c>
      <c r="G359">
        <v>449</v>
      </c>
      <c r="H359" t="s">
        <v>12</v>
      </c>
      <c r="I359" t="s">
        <v>32</v>
      </c>
    </row>
    <row r="360" spans="1:9" x14ac:dyDescent="0.35">
      <c r="A360" t="s">
        <v>479</v>
      </c>
      <c r="B360" t="s">
        <v>118</v>
      </c>
      <c r="C360" t="s">
        <v>31</v>
      </c>
      <c r="D360" s="1">
        <v>44947</v>
      </c>
      <c r="E360">
        <v>415</v>
      </c>
      <c r="F360">
        <v>354</v>
      </c>
      <c r="G360">
        <v>61</v>
      </c>
      <c r="H360" t="s">
        <v>12</v>
      </c>
      <c r="I360" t="s">
        <v>32</v>
      </c>
    </row>
    <row r="361" spans="1:9" x14ac:dyDescent="0.35">
      <c r="A361" t="s">
        <v>480</v>
      </c>
      <c r="B361" t="s">
        <v>478</v>
      </c>
      <c r="C361" t="s">
        <v>16</v>
      </c>
      <c r="D361" s="1">
        <v>45132</v>
      </c>
      <c r="E361">
        <v>957</v>
      </c>
      <c r="F361">
        <v>491</v>
      </c>
      <c r="G361">
        <v>466</v>
      </c>
      <c r="H361" t="s">
        <v>12</v>
      </c>
      <c r="I361" t="s">
        <v>45</v>
      </c>
    </row>
    <row r="362" spans="1:9" x14ac:dyDescent="0.35">
      <c r="A362" t="s">
        <v>481</v>
      </c>
      <c r="B362" t="s">
        <v>134</v>
      </c>
      <c r="C362" t="s">
        <v>19</v>
      </c>
      <c r="D362" s="1">
        <v>44948</v>
      </c>
      <c r="E362">
        <v>919</v>
      </c>
      <c r="F362">
        <v>813</v>
      </c>
      <c r="G362">
        <v>106</v>
      </c>
      <c r="H362" t="s">
        <v>12</v>
      </c>
      <c r="I362" t="s">
        <v>28</v>
      </c>
    </row>
    <row r="363" spans="1:9" x14ac:dyDescent="0.35">
      <c r="A363" t="s">
        <v>482</v>
      </c>
      <c r="B363" t="s">
        <v>125</v>
      </c>
      <c r="C363" t="s">
        <v>27</v>
      </c>
      <c r="D363" s="1">
        <v>45308</v>
      </c>
      <c r="E363">
        <v>583</v>
      </c>
      <c r="F363">
        <v>183</v>
      </c>
      <c r="G363">
        <v>400</v>
      </c>
      <c r="H363" t="s">
        <v>12</v>
      </c>
      <c r="I363" t="s">
        <v>32</v>
      </c>
    </row>
    <row r="364" spans="1:9" x14ac:dyDescent="0.35">
      <c r="A364" t="s">
        <v>483</v>
      </c>
      <c r="B364" t="s">
        <v>145</v>
      </c>
      <c r="C364" t="s">
        <v>31</v>
      </c>
      <c r="D364" s="1">
        <v>45421</v>
      </c>
      <c r="E364">
        <v>109</v>
      </c>
      <c r="F364">
        <v>33</v>
      </c>
      <c r="G364">
        <v>76</v>
      </c>
      <c r="H364" t="s">
        <v>12</v>
      </c>
      <c r="I364" t="s">
        <v>13</v>
      </c>
    </row>
    <row r="365" spans="1:9" x14ac:dyDescent="0.35">
      <c r="A365" t="s">
        <v>484</v>
      </c>
      <c r="B365" t="s">
        <v>221</v>
      </c>
      <c r="C365" t="s">
        <v>31</v>
      </c>
      <c r="D365" s="1">
        <v>45357</v>
      </c>
      <c r="E365">
        <v>330</v>
      </c>
      <c r="F365">
        <v>319</v>
      </c>
      <c r="G365">
        <v>11</v>
      </c>
      <c r="H365" t="s">
        <v>12</v>
      </c>
      <c r="I365" t="s">
        <v>28</v>
      </c>
    </row>
    <row r="366" spans="1:9" x14ac:dyDescent="0.35">
      <c r="A366" t="s">
        <v>485</v>
      </c>
      <c r="B366" t="s">
        <v>280</v>
      </c>
      <c r="C366" t="s">
        <v>27</v>
      </c>
      <c r="D366" s="1">
        <v>45082</v>
      </c>
      <c r="E366">
        <v>349</v>
      </c>
      <c r="F366">
        <v>228</v>
      </c>
      <c r="G366">
        <v>121</v>
      </c>
      <c r="H366" t="s">
        <v>12</v>
      </c>
      <c r="I366" t="s">
        <v>28</v>
      </c>
    </row>
    <row r="367" spans="1:9" x14ac:dyDescent="0.35">
      <c r="A367" t="s">
        <v>486</v>
      </c>
      <c r="B367" t="s">
        <v>118</v>
      </c>
      <c r="C367" t="s">
        <v>16</v>
      </c>
      <c r="D367" s="1">
        <v>45022</v>
      </c>
      <c r="E367">
        <v>953</v>
      </c>
      <c r="F367">
        <v>193</v>
      </c>
      <c r="G367">
        <v>760</v>
      </c>
      <c r="H367" t="s">
        <v>12</v>
      </c>
      <c r="I367" t="s">
        <v>13</v>
      </c>
    </row>
    <row r="368" spans="1:9" x14ac:dyDescent="0.35">
      <c r="A368" t="s">
        <v>487</v>
      </c>
      <c r="B368" t="s">
        <v>171</v>
      </c>
      <c r="C368" t="s">
        <v>23</v>
      </c>
      <c r="D368" s="1">
        <v>45291</v>
      </c>
      <c r="E368">
        <v>159</v>
      </c>
      <c r="F368">
        <v>29</v>
      </c>
      <c r="G368">
        <v>130</v>
      </c>
      <c r="H368" t="s">
        <v>12</v>
      </c>
      <c r="I368" t="s">
        <v>24</v>
      </c>
    </row>
    <row r="369" spans="1:9" x14ac:dyDescent="0.35">
      <c r="A369" t="s">
        <v>488</v>
      </c>
      <c r="B369" t="s">
        <v>138</v>
      </c>
      <c r="C369" t="s">
        <v>23</v>
      </c>
      <c r="D369" s="1">
        <v>45083</v>
      </c>
      <c r="E369">
        <v>128</v>
      </c>
      <c r="F369">
        <v>61</v>
      </c>
      <c r="G369">
        <v>67</v>
      </c>
      <c r="H369" t="s">
        <v>12</v>
      </c>
      <c r="I369" t="s">
        <v>28</v>
      </c>
    </row>
    <row r="370" spans="1:9" x14ac:dyDescent="0.35">
      <c r="A370" t="s">
        <v>489</v>
      </c>
      <c r="B370" t="s">
        <v>469</v>
      </c>
      <c r="C370" t="s">
        <v>11</v>
      </c>
      <c r="D370" s="1">
        <v>45332</v>
      </c>
      <c r="E370">
        <v>581</v>
      </c>
      <c r="F370">
        <v>155</v>
      </c>
      <c r="G370">
        <v>426</v>
      </c>
      <c r="H370" t="s">
        <v>12</v>
      </c>
      <c r="I370" t="s">
        <v>20</v>
      </c>
    </row>
    <row r="371" spans="1:9" x14ac:dyDescent="0.35">
      <c r="A371" t="s">
        <v>490</v>
      </c>
      <c r="B371" t="s">
        <v>424</v>
      </c>
      <c r="C371" t="s">
        <v>27</v>
      </c>
      <c r="D371" s="1">
        <v>45007</v>
      </c>
      <c r="E371">
        <v>981</v>
      </c>
      <c r="F371">
        <v>265</v>
      </c>
      <c r="G371">
        <v>716</v>
      </c>
      <c r="H371" t="s">
        <v>12</v>
      </c>
      <c r="I371" t="s">
        <v>24</v>
      </c>
    </row>
    <row r="372" spans="1:9" x14ac:dyDescent="0.35">
      <c r="A372" t="s">
        <v>491</v>
      </c>
      <c r="B372" t="s">
        <v>91</v>
      </c>
      <c r="C372" t="s">
        <v>27</v>
      </c>
      <c r="D372" s="1">
        <v>45347</v>
      </c>
      <c r="E372">
        <v>116</v>
      </c>
      <c r="F372">
        <v>39</v>
      </c>
      <c r="G372">
        <v>77</v>
      </c>
      <c r="H372" t="s">
        <v>12</v>
      </c>
      <c r="I372" t="s">
        <v>45</v>
      </c>
    </row>
    <row r="373" spans="1:9" x14ac:dyDescent="0.35">
      <c r="A373" t="s">
        <v>492</v>
      </c>
      <c r="B373" t="s">
        <v>159</v>
      </c>
      <c r="C373" t="s">
        <v>31</v>
      </c>
      <c r="D373" s="1">
        <v>45434</v>
      </c>
      <c r="E373">
        <v>930</v>
      </c>
      <c r="F373">
        <v>761</v>
      </c>
      <c r="G373">
        <v>169</v>
      </c>
      <c r="H373" t="s">
        <v>12</v>
      </c>
      <c r="I373" t="s">
        <v>45</v>
      </c>
    </row>
    <row r="374" spans="1:9" x14ac:dyDescent="0.35">
      <c r="A374" t="s">
        <v>493</v>
      </c>
      <c r="B374" t="s">
        <v>132</v>
      </c>
      <c r="C374" t="s">
        <v>27</v>
      </c>
      <c r="D374" s="1">
        <v>45500</v>
      </c>
      <c r="E374">
        <v>289</v>
      </c>
      <c r="F374">
        <v>145</v>
      </c>
      <c r="G374">
        <v>144</v>
      </c>
      <c r="H374" t="s">
        <v>12</v>
      </c>
      <c r="I374" t="s">
        <v>20</v>
      </c>
    </row>
    <row r="375" spans="1:9" x14ac:dyDescent="0.35">
      <c r="A375" t="s">
        <v>494</v>
      </c>
      <c r="B375" t="s">
        <v>145</v>
      </c>
      <c r="C375" t="s">
        <v>27</v>
      </c>
      <c r="D375" s="1">
        <v>44981</v>
      </c>
      <c r="E375">
        <v>143</v>
      </c>
      <c r="F375">
        <v>62</v>
      </c>
      <c r="G375">
        <v>81</v>
      </c>
      <c r="H375" t="s">
        <v>12</v>
      </c>
      <c r="I375" t="s">
        <v>32</v>
      </c>
    </row>
    <row r="376" spans="1:9" x14ac:dyDescent="0.35">
      <c r="A376" t="s">
        <v>495</v>
      </c>
      <c r="B376" t="s">
        <v>30</v>
      </c>
      <c r="C376" t="s">
        <v>11</v>
      </c>
      <c r="D376" s="1">
        <v>45481</v>
      </c>
      <c r="E376">
        <v>917</v>
      </c>
      <c r="F376">
        <v>612</v>
      </c>
      <c r="G376">
        <v>305</v>
      </c>
      <c r="H376" t="s">
        <v>12</v>
      </c>
      <c r="I376" t="s">
        <v>32</v>
      </c>
    </row>
    <row r="377" spans="1:9" x14ac:dyDescent="0.35">
      <c r="A377" t="s">
        <v>496</v>
      </c>
      <c r="B377" t="s">
        <v>76</v>
      </c>
      <c r="C377" t="s">
        <v>27</v>
      </c>
      <c r="D377" s="1">
        <v>44968</v>
      </c>
      <c r="E377">
        <v>509</v>
      </c>
      <c r="F377">
        <v>496</v>
      </c>
      <c r="G377">
        <v>13</v>
      </c>
      <c r="H377" t="s">
        <v>12</v>
      </c>
      <c r="I377" t="s">
        <v>28</v>
      </c>
    </row>
    <row r="378" spans="1:9" x14ac:dyDescent="0.35">
      <c r="A378" t="s">
        <v>497</v>
      </c>
      <c r="B378" t="s">
        <v>44</v>
      </c>
      <c r="C378" t="s">
        <v>23</v>
      </c>
      <c r="D378" s="1">
        <v>45284</v>
      </c>
      <c r="E378">
        <v>698</v>
      </c>
      <c r="F378">
        <v>141</v>
      </c>
      <c r="G378">
        <v>557</v>
      </c>
      <c r="H378" t="s">
        <v>12</v>
      </c>
      <c r="I378" t="s">
        <v>28</v>
      </c>
    </row>
    <row r="379" spans="1:9" x14ac:dyDescent="0.35">
      <c r="A379" t="s">
        <v>498</v>
      </c>
      <c r="B379" t="s">
        <v>259</v>
      </c>
      <c r="C379" t="s">
        <v>11</v>
      </c>
      <c r="D379" s="1">
        <v>45297</v>
      </c>
      <c r="E379">
        <v>948</v>
      </c>
      <c r="F379">
        <v>594</v>
      </c>
      <c r="G379">
        <v>354</v>
      </c>
      <c r="H379" t="s">
        <v>12</v>
      </c>
      <c r="I379" t="s">
        <v>45</v>
      </c>
    </row>
    <row r="380" spans="1:9" x14ac:dyDescent="0.35">
      <c r="A380" t="s">
        <v>499</v>
      </c>
      <c r="B380" t="s">
        <v>159</v>
      </c>
      <c r="C380" t="s">
        <v>23</v>
      </c>
      <c r="D380" s="1">
        <v>45183</v>
      </c>
      <c r="E380">
        <v>828</v>
      </c>
      <c r="F380">
        <v>398</v>
      </c>
      <c r="G380">
        <v>430</v>
      </c>
      <c r="H380" t="s">
        <v>12</v>
      </c>
      <c r="I380" t="s">
        <v>20</v>
      </c>
    </row>
    <row r="381" spans="1:9" x14ac:dyDescent="0.35">
      <c r="A381" t="s">
        <v>500</v>
      </c>
      <c r="B381" t="s">
        <v>464</v>
      </c>
      <c r="C381" t="s">
        <v>11</v>
      </c>
      <c r="D381" s="1">
        <v>45227</v>
      </c>
      <c r="E381">
        <v>700</v>
      </c>
      <c r="F381">
        <v>658</v>
      </c>
      <c r="G381">
        <v>42</v>
      </c>
      <c r="H381" t="s">
        <v>12</v>
      </c>
      <c r="I381" t="s">
        <v>24</v>
      </c>
    </row>
    <row r="382" spans="1:9" x14ac:dyDescent="0.35">
      <c r="A382" t="s">
        <v>501</v>
      </c>
      <c r="B382" t="s">
        <v>418</v>
      </c>
      <c r="C382" t="s">
        <v>27</v>
      </c>
      <c r="D382" s="1">
        <v>44951</v>
      </c>
      <c r="E382">
        <v>366</v>
      </c>
      <c r="F382">
        <v>206</v>
      </c>
      <c r="G382">
        <v>160</v>
      </c>
      <c r="H382" t="s">
        <v>12</v>
      </c>
      <c r="I382" t="s">
        <v>28</v>
      </c>
    </row>
    <row r="383" spans="1:9" x14ac:dyDescent="0.35">
      <c r="A383" t="s">
        <v>502</v>
      </c>
      <c r="B383" t="s">
        <v>80</v>
      </c>
      <c r="C383" t="s">
        <v>27</v>
      </c>
      <c r="D383" s="1">
        <v>45481</v>
      </c>
      <c r="E383">
        <v>906</v>
      </c>
      <c r="F383">
        <v>75</v>
      </c>
      <c r="G383">
        <v>831</v>
      </c>
      <c r="H383" t="s">
        <v>12</v>
      </c>
      <c r="I383" t="s">
        <v>45</v>
      </c>
    </row>
    <row r="384" spans="1:9" x14ac:dyDescent="0.35">
      <c r="A384" t="s">
        <v>503</v>
      </c>
      <c r="B384" t="s">
        <v>85</v>
      </c>
      <c r="C384" t="s">
        <v>27</v>
      </c>
      <c r="D384" s="1">
        <v>45254</v>
      </c>
      <c r="E384">
        <v>591</v>
      </c>
      <c r="F384">
        <v>132</v>
      </c>
      <c r="G384">
        <v>459</v>
      </c>
      <c r="H384" t="s">
        <v>12</v>
      </c>
      <c r="I384" t="s">
        <v>28</v>
      </c>
    </row>
    <row r="385" spans="1:9" x14ac:dyDescent="0.35">
      <c r="A385" t="s">
        <v>504</v>
      </c>
      <c r="B385" t="s">
        <v>424</v>
      </c>
      <c r="C385" t="s">
        <v>16</v>
      </c>
      <c r="D385" s="1">
        <v>45311</v>
      </c>
      <c r="E385">
        <v>420</v>
      </c>
      <c r="F385">
        <v>80</v>
      </c>
      <c r="G385">
        <v>340</v>
      </c>
      <c r="H385" t="s">
        <v>12</v>
      </c>
      <c r="I385" t="s">
        <v>28</v>
      </c>
    </row>
    <row r="386" spans="1:9" x14ac:dyDescent="0.35">
      <c r="A386" t="s">
        <v>505</v>
      </c>
      <c r="B386" t="s">
        <v>506</v>
      </c>
      <c r="C386" t="s">
        <v>16</v>
      </c>
      <c r="D386" s="1">
        <v>45154</v>
      </c>
      <c r="E386">
        <v>152</v>
      </c>
      <c r="F386">
        <v>4</v>
      </c>
      <c r="G386">
        <v>148</v>
      </c>
      <c r="H386" t="s">
        <v>12</v>
      </c>
      <c r="I386" t="s">
        <v>13</v>
      </c>
    </row>
    <row r="387" spans="1:9" x14ac:dyDescent="0.35">
      <c r="A387" t="s">
        <v>507</v>
      </c>
      <c r="B387" t="s">
        <v>159</v>
      </c>
      <c r="C387" t="s">
        <v>31</v>
      </c>
      <c r="D387" s="1">
        <v>45378</v>
      </c>
      <c r="E387">
        <v>166</v>
      </c>
      <c r="F387">
        <v>82</v>
      </c>
      <c r="G387">
        <v>84</v>
      </c>
      <c r="H387" t="s">
        <v>12</v>
      </c>
      <c r="I387" t="s">
        <v>20</v>
      </c>
    </row>
    <row r="388" spans="1:9" x14ac:dyDescent="0.35">
      <c r="A388" t="s">
        <v>508</v>
      </c>
      <c r="B388" t="s">
        <v>384</v>
      </c>
      <c r="C388" t="s">
        <v>19</v>
      </c>
      <c r="D388" s="1">
        <v>45154</v>
      </c>
      <c r="E388">
        <v>787</v>
      </c>
      <c r="F388">
        <v>283</v>
      </c>
      <c r="G388">
        <v>504</v>
      </c>
      <c r="H388" t="s">
        <v>12</v>
      </c>
      <c r="I388" t="s">
        <v>28</v>
      </c>
    </row>
    <row r="389" spans="1:9" x14ac:dyDescent="0.35">
      <c r="A389" t="s">
        <v>509</v>
      </c>
      <c r="B389" t="s">
        <v>478</v>
      </c>
      <c r="C389" t="s">
        <v>19</v>
      </c>
      <c r="D389" s="1">
        <v>44955</v>
      </c>
      <c r="E389">
        <v>228</v>
      </c>
      <c r="F389">
        <v>76</v>
      </c>
      <c r="G389">
        <v>152</v>
      </c>
      <c r="H389" t="s">
        <v>12</v>
      </c>
      <c r="I389" t="s">
        <v>32</v>
      </c>
    </row>
    <row r="390" spans="1:9" x14ac:dyDescent="0.35">
      <c r="A390" t="s">
        <v>510</v>
      </c>
      <c r="B390" t="s">
        <v>87</v>
      </c>
      <c r="C390" t="s">
        <v>27</v>
      </c>
      <c r="D390" s="1">
        <v>45001</v>
      </c>
      <c r="E390">
        <v>463</v>
      </c>
      <c r="F390">
        <v>67</v>
      </c>
      <c r="G390">
        <v>396</v>
      </c>
      <c r="H390" t="s">
        <v>12</v>
      </c>
      <c r="I390" t="s">
        <v>32</v>
      </c>
    </row>
    <row r="391" spans="1:9" x14ac:dyDescent="0.35">
      <c r="A391" t="s">
        <v>511</v>
      </c>
      <c r="B391" t="s">
        <v>22</v>
      </c>
      <c r="C391" t="s">
        <v>16</v>
      </c>
      <c r="D391" s="1">
        <v>44957</v>
      </c>
      <c r="E391">
        <v>722</v>
      </c>
      <c r="F391">
        <v>201</v>
      </c>
      <c r="G391">
        <v>521</v>
      </c>
      <c r="H391" t="s">
        <v>12</v>
      </c>
      <c r="I391" t="s">
        <v>45</v>
      </c>
    </row>
    <row r="392" spans="1:9" x14ac:dyDescent="0.35">
      <c r="A392" t="s">
        <v>512</v>
      </c>
      <c r="B392" t="s">
        <v>301</v>
      </c>
      <c r="C392" t="s">
        <v>16</v>
      </c>
      <c r="D392" s="1">
        <v>45014</v>
      </c>
      <c r="E392">
        <v>457</v>
      </c>
      <c r="F392">
        <v>449</v>
      </c>
      <c r="G392">
        <v>8</v>
      </c>
      <c r="H392" t="s">
        <v>12</v>
      </c>
      <c r="I392" t="s">
        <v>24</v>
      </c>
    </row>
    <row r="393" spans="1:9" x14ac:dyDescent="0.35">
      <c r="A393" t="s">
        <v>513</v>
      </c>
      <c r="B393" t="s">
        <v>269</v>
      </c>
      <c r="C393" t="s">
        <v>27</v>
      </c>
      <c r="D393" s="1">
        <v>45397</v>
      </c>
      <c r="E393">
        <v>244</v>
      </c>
      <c r="F393">
        <v>142</v>
      </c>
      <c r="G393">
        <v>102</v>
      </c>
      <c r="H393" t="s">
        <v>12</v>
      </c>
      <c r="I393" t="s">
        <v>13</v>
      </c>
    </row>
    <row r="394" spans="1:9" x14ac:dyDescent="0.35">
      <c r="A394" t="s">
        <v>514</v>
      </c>
      <c r="B394" t="s">
        <v>44</v>
      </c>
      <c r="C394" t="s">
        <v>31</v>
      </c>
      <c r="D394" s="1">
        <v>44953</v>
      </c>
      <c r="E394">
        <v>299</v>
      </c>
      <c r="F394">
        <v>82</v>
      </c>
      <c r="G394">
        <v>217</v>
      </c>
      <c r="H394" t="s">
        <v>12</v>
      </c>
      <c r="I394" t="s">
        <v>28</v>
      </c>
    </row>
    <row r="395" spans="1:9" x14ac:dyDescent="0.35">
      <c r="A395" t="s">
        <v>515</v>
      </c>
      <c r="B395" t="s">
        <v>134</v>
      </c>
      <c r="C395" t="s">
        <v>16</v>
      </c>
      <c r="D395" s="1">
        <v>44963</v>
      </c>
      <c r="E395">
        <v>668</v>
      </c>
      <c r="F395">
        <v>574</v>
      </c>
      <c r="G395">
        <v>94</v>
      </c>
      <c r="H395" t="s">
        <v>12</v>
      </c>
      <c r="I395" t="s">
        <v>32</v>
      </c>
    </row>
    <row r="396" spans="1:9" x14ac:dyDescent="0.35">
      <c r="A396" t="s">
        <v>516</v>
      </c>
      <c r="B396" t="s">
        <v>93</v>
      </c>
      <c r="C396" t="s">
        <v>11</v>
      </c>
      <c r="D396" s="1">
        <v>45089</v>
      </c>
      <c r="E396">
        <v>648</v>
      </c>
      <c r="F396">
        <v>563</v>
      </c>
      <c r="G396">
        <v>85</v>
      </c>
      <c r="H396" t="s">
        <v>12</v>
      </c>
      <c r="I396" t="s">
        <v>20</v>
      </c>
    </row>
    <row r="397" spans="1:9" x14ac:dyDescent="0.35">
      <c r="A397" t="s">
        <v>517</v>
      </c>
      <c r="B397" t="s">
        <v>159</v>
      </c>
      <c r="C397" t="s">
        <v>23</v>
      </c>
      <c r="D397" s="1">
        <v>45106</v>
      </c>
      <c r="E397">
        <v>119</v>
      </c>
      <c r="F397">
        <v>68</v>
      </c>
      <c r="G397">
        <v>51</v>
      </c>
      <c r="H397" t="s">
        <v>12</v>
      </c>
      <c r="I397" t="s">
        <v>28</v>
      </c>
    </row>
    <row r="398" spans="1:9" x14ac:dyDescent="0.35">
      <c r="A398" t="s">
        <v>518</v>
      </c>
      <c r="B398" t="s">
        <v>67</v>
      </c>
      <c r="C398" t="s">
        <v>16</v>
      </c>
      <c r="D398" s="1">
        <v>45378</v>
      </c>
      <c r="E398">
        <v>511</v>
      </c>
      <c r="F398">
        <v>480</v>
      </c>
      <c r="G398">
        <v>31</v>
      </c>
      <c r="H398" t="s">
        <v>12</v>
      </c>
      <c r="I398" t="s">
        <v>20</v>
      </c>
    </row>
    <row r="399" spans="1:9" x14ac:dyDescent="0.35">
      <c r="A399" t="s">
        <v>519</v>
      </c>
      <c r="B399" t="s">
        <v>140</v>
      </c>
      <c r="C399" t="s">
        <v>27</v>
      </c>
      <c r="D399" s="1">
        <v>45363</v>
      </c>
      <c r="E399">
        <v>561</v>
      </c>
      <c r="F399">
        <v>272</v>
      </c>
      <c r="G399">
        <v>289</v>
      </c>
      <c r="H399" t="s">
        <v>12</v>
      </c>
      <c r="I399" t="s">
        <v>32</v>
      </c>
    </row>
    <row r="400" spans="1:9" x14ac:dyDescent="0.35">
      <c r="A400" t="s">
        <v>520</v>
      </c>
      <c r="B400" t="s">
        <v>89</v>
      </c>
      <c r="C400" t="s">
        <v>19</v>
      </c>
      <c r="D400" s="1">
        <v>45181</v>
      </c>
      <c r="E400">
        <v>393</v>
      </c>
      <c r="F400">
        <v>218</v>
      </c>
      <c r="G400">
        <v>175</v>
      </c>
      <c r="H400" t="s">
        <v>12</v>
      </c>
      <c r="I400" t="s">
        <v>32</v>
      </c>
    </row>
    <row r="401" spans="1:9" x14ac:dyDescent="0.35">
      <c r="A401" t="s">
        <v>521</v>
      </c>
      <c r="B401" t="s">
        <v>89</v>
      </c>
      <c r="C401" t="s">
        <v>16</v>
      </c>
      <c r="D401" s="1">
        <v>44968</v>
      </c>
      <c r="E401">
        <v>491</v>
      </c>
      <c r="F401">
        <v>81</v>
      </c>
      <c r="G401">
        <v>410</v>
      </c>
      <c r="H401" t="s">
        <v>12</v>
      </c>
      <c r="I401" t="s">
        <v>24</v>
      </c>
    </row>
    <row r="402" spans="1:9" x14ac:dyDescent="0.35">
      <c r="A402" t="s">
        <v>522</v>
      </c>
      <c r="B402" t="s">
        <v>464</v>
      </c>
      <c r="C402" t="s">
        <v>23</v>
      </c>
      <c r="D402" s="1">
        <v>45125</v>
      </c>
      <c r="E402">
        <v>644</v>
      </c>
      <c r="F402">
        <v>557</v>
      </c>
      <c r="G402">
        <v>87</v>
      </c>
      <c r="H402" t="s">
        <v>12</v>
      </c>
      <c r="I402" t="s">
        <v>24</v>
      </c>
    </row>
    <row r="403" spans="1:9" x14ac:dyDescent="0.35">
      <c r="A403" t="s">
        <v>523</v>
      </c>
      <c r="B403" t="s">
        <v>145</v>
      </c>
      <c r="C403" t="s">
        <v>23</v>
      </c>
      <c r="D403" s="1">
        <v>45206</v>
      </c>
      <c r="E403">
        <v>884</v>
      </c>
      <c r="F403">
        <v>689</v>
      </c>
      <c r="G403">
        <v>195</v>
      </c>
      <c r="H403" t="s">
        <v>12</v>
      </c>
      <c r="I403" t="s">
        <v>32</v>
      </c>
    </row>
    <row r="404" spans="1:9" x14ac:dyDescent="0.35">
      <c r="A404" t="s">
        <v>524</v>
      </c>
      <c r="B404" t="s">
        <v>276</v>
      </c>
      <c r="C404" t="s">
        <v>19</v>
      </c>
      <c r="D404" s="1">
        <v>45470</v>
      </c>
      <c r="E404">
        <v>852</v>
      </c>
      <c r="F404">
        <v>393</v>
      </c>
      <c r="G404">
        <v>459</v>
      </c>
      <c r="H404" t="s">
        <v>12</v>
      </c>
      <c r="I404" t="s">
        <v>13</v>
      </c>
    </row>
    <row r="405" spans="1:9" x14ac:dyDescent="0.35">
      <c r="A405" t="s">
        <v>525</v>
      </c>
      <c r="B405" t="s">
        <v>216</v>
      </c>
      <c r="C405" t="s">
        <v>23</v>
      </c>
      <c r="D405" s="1">
        <v>45450</v>
      </c>
      <c r="E405">
        <v>817</v>
      </c>
      <c r="F405">
        <v>415</v>
      </c>
      <c r="G405">
        <v>402</v>
      </c>
      <c r="H405" t="s">
        <v>12</v>
      </c>
      <c r="I405" t="s">
        <v>45</v>
      </c>
    </row>
    <row r="406" spans="1:9" x14ac:dyDescent="0.35">
      <c r="A406" t="s">
        <v>526</v>
      </c>
      <c r="B406" t="s">
        <v>85</v>
      </c>
      <c r="C406" t="s">
        <v>27</v>
      </c>
      <c r="D406" s="1">
        <v>45101</v>
      </c>
      <c r="E406">
        <v>569</v>
      </c>
      <c r="F406">
        <v>208</v>
      </c>
      <c r="G406">
        <v>361</v>
      </c>
      <c r="H406" t="s">
        <v>12</v>
      </c>
      <c r="I406" t="s">
        <v>13</v>
      </c>
    </row>
    <row r="407" spans="1:9" x14ac:dyDescent="0.35">
      <c r="A407" t="s">
        <v>527</v>
      </c>
      <c r="B407" t="s">
        <v>263</v>
      </c>
      <c r="C407" t="s">
        <v>19</v>
      </c>
      <c r="D407" s="1">
        <v>45139</v>
      </c>
      <c r="E407">
        <v>861</v>
      </c>
      <c r="F407">
        <v>813</v>
      </c>
      <c r="G407">
        <v>48</v>
      </c>
      <c r="H407" t="s">
        <v>12</v>
      </c>
      <c r="I407" t="s">
        <v>28</v>
      </c>
    </row>
    <row r="408" spans="1:9" x14ac:dyDescent="0.35">
      <c r="A408" t="s">
        <v>528</v>
      </c>
      <c r="B408" t="s">
        <v>134</v>
      </c>
      <c r="C408" t="s">
        <v>23</v>
      </c>
      <c r="D408" s="1">
        <v>44940</v>
      </c>
      <c r="E408">
        <v>764</v>
      </c>
      <c r="F408">
        <v>162</v>
      </c>
      <c r="G408">
        <v>602</v>
      </c>
      <c r="H408" t="s">
        <v>12</v>
      </c>
      <c r="I408" t="s">
        <v>13</v>
      </c>
    </row>
    <row r="409" spans="1:9" x14ac:dyDescent="0.35">
      <c r="A409" t="s">
        <v>529</v>
      </c>
      <c r="B409" t="s">
        <v>54</v>
      </c>
      <c r="C409" t="s">
        <v>23</v>
      </c>
      <c r="D409" s="1">
        <v>45437</v>
      </c>
      <c r="E409">
        <v>397</v>
      </c>
      <c r="F409">
        <v>311</v>
      </c>
      <c r="G409">
        <v>86</v>
      </c>
      <c r="H409" t="s">
        <v>12</v>
      </c>
      <c r="I409" t="s">
        <v>13</v>
      </c>
    </row>
    <row r="410" spans="1:9" x14ac:dyDescent="0.35">
      <c r="A410" t="s">
        <v>530</v>
      </c>
      <c r="B410" t="s">
        <v>184</v>
      </c>
      <c r="C410" t="s">
        <v>23</v>
      </c>
      <c r="D410" s="1">
        <v>45407</v>
      </c>
      <c r="E410">
        <v>593</v>
      </c>
      <c r="F410">
        <v>408</v>
      </c>
      <c r="G410">
        <v>185</v>
      </c>
      <c r="H410" t="s">
        <v>12</v>
      </c>
      <c r="I410" t="s">
        <v>24</v>
      </c>
    </row>
    <row r="411" spans="1:9" x14ac:dyDescent="0.35">
      <c r="A411" t="s">
        <v>531</v>
      </c>
      <c r="B411" t="s">
        <v>352</v>
      </c>
      <c r="C411" t="s">
        <v>31</v>
      </c>
      <c r="D411" s="1">
        <v>45026</v>
      </c>
      <c r="E411">
        <v>389</v>
      </c>
      <c r="F411">
        <v>327</v>
      </c>
      <c r="G411">
        <v>62</v>
      </c>
      <c r="H411" t="s">
        <v>12</v>
      </c>
      <c r="I411" t="s">
        <v>13</v>
      </c>
    </row>
    <row r="412" spans="1:9" x14ac:dyDescent="0.35">
      <c r="A412" t="s">
        <v>532</v>
      </c>
      <c r="B412" t="s">
        <v>26</v>
      </c>
      <c r="C412" t="s">
        <v>27</v>
      </c>
      <c r="D412" s="1">
        <v>45161</v>
      </c>
      <c r="E412">
        <v>568</v>
      </c>
      <c r="F412">
        <v>507</v>
      </c>
      <c r="G412">
        <v>61</v>
      </c>
      <c r="H412" t="s">
        <v>12</v>
      </c>
      <c r="I412" t="s">
        <v>45</v>
      </c>
    </row>
    <row r="413" spans="1:9" x14ac:dyDescent="0.35">
      <c r="A413" t="s">
        <v>533</v>
      </c>
      <c r="B413" t="s">
        <v>34</v>
      </c>
      <c r="C413" t="s">
        <v>16</v>
      </c>
      <c r="D413" s="1">
        <v>45422</v>
      </c>
      <c r="E413">
        <v>522</v>
      </c>
      <c r="F413">
        <v>117</v>
      </c>
      <c r="G413">
        <v>405</v>
      </c>
      <c r="H413" t="s">
        <v>12</v>
      </c>
      <c r="I413" t="s">
        <v>45</v>
      </c>
    </row>
    <row r="414" spans="1:9" x14ac:dyDescent="0.35">
      <c r="A414" t="s">
        <v>534</v>
      </c>
      <c r="B414" t="s">
        <v>161</v>
      </c>
      <c r="C414" t="s">
        <v>11</v>
      </c>
      <c r="D414" s="1">
        <v>45301</v>
      </c>
      <c r="E414">
        <v>992</v>
      </c>
      <c r="F414">
        <v>779</v>
      </c>
      <c r="G414">
        <v>213</v>
      </c>
      <c r="H414" t="s">
        <v>12</v>
      </c>
      <c r="I414" t="s">
        <v>13</v>
      </c>
    </row>
    <row r="415" spans="1:9" x14ac:dyDescent="0.35">
      <c r="A415" t="s">
        <v>535</v>
      </c>
      <c r="B415" t="s">
        <v>464</v>
      </c>
      <c r="C415" t="s">
        <v>19</v>
      </c>
      <c r="D415" s="1">
        <v>45094</v>
      </c>
      <c r="E415">
        <v>773</v>
      </c>
      <c r="F415">
        <v>523</v>
      </c>
      <c r="G415">
        <v>250</v>
      </c>
      <c r="H415" t="s">
        <v>12</v>
      </c>
      <c r="I415" t="s">
        <v>32</v>
      </c>
    </row>
    <row r="416" spans="1:9" x14ac:dyDescent="0.35">
      <c r="A416" t="s">
        <v>536</v>
      </c>
      <c r="B416" t="s">
        <v>132</v>
      </c>
      <c r="C416" t="s">
        <v>27</v>
      </c>
      <c r="D416" s="1">
        <v>45311</v>
      </c>
      <c r="E416">
        <v>470</v>
      </c>
      <c r="F416">
        <v>276</v>
      </c>
      <c r="G416">
        <v>194</v>
      </c>
      <c r="H416" t="s">
        <v>12</v>
      </c>
      <c r="I416" t="s">
        <v>45</v>
      </c>
    </row>
    <row r="417" spans="1:9" x14ac:dyDescent="0.35">
      <c r="A417" t="s">
        <v>537</v>
      </c>
      <c r="B417" t="s">
        <v>352</v>
      </c>
      <c r="C417" t="s">
        <v>19</v>
      </c>
      <c r="D417" s="1">
        <v>45015</v>
      </c>
      <c r="E417">
        <v>616</v>
      </c>
      <c r="F417">
        <v>333</v>
      </c>
      <c r="G417">
        <v>283</v>
      </c>
      <c r="H417" t="s">
        <v>12</v>
      </c>
      <c r="I417" t="s">
        <v>45</v>
      </c>
    </row>
    <row r="418" spans="1:9" x14ac:dyDescent="0.35">
      <c r="A418" t="s">
        <v>538</v>
      </c>
      <c r="B418" t="s">
        <v>400</v>
      </c>
      <c r="C418" t="s">
        <v>27</v>
      </c>
      <c r="D418" s="1">
        <v>45344</v>
      </c>
      <c r="E418">
        <v>954</v>
      </c>
      <c r="F418">
        <v>264</v>
      </c>
      <c r="G418">
        <v>690</v>
      </c>
      <c r="H418" t="s">
        <v>12</v>
      </c>
      <c r="I418" t="s">
        <v>13</v>
      </c>
    </row>
    <row r="419" spans="1:9" x14ac:dyDescent="0.35">
      <c r="A419" t="s">
        <v>539</v>
      </c>
      <c r="B419" t="s">
        <v>159</v>
      </c>
      <c r="C419" t="s">
        <v>27</v>
      </c>
      <c r="D419" s="1">
        <v>45404</v>
      </c>
      <c r="E419">
        <v>253</v>
      </c>
      <c r="F419">
        <v>90</v>
      </c>
      <c r="G419">
        <v>163</v>
      </c>
      <c r="H419" t="s">
        <v>12</v>
      </c>
      <c r="I419" t="s">
        <v>28</v>
      </c>
    </row>
    <row r="420" spans="1:9" x14ac:dyDescent="0.35">
      <c r="A420" t="s">
        <v>540</v>
      </c>
      <c r="B420" t="s">
        <v>280</v>
      </c>
      <c r="C420" t="s">
        <v>27</v>
      </c>
      <c r="D420" s="1">
        <v>45224</v>
      </c>
      <c r="E420">
        <v>366</v>
      </c>
      <c r="F420">
        <v>215</v>
      </c>
      <c r="G420">
        <v>151</v>
      </c>
      <c r="H420" t="s">
        <v>12</v>
      </c>
      <c r="I420" t="s">
        <v>45</v>
      </c>
    </row>
    <row r="421" spans="1:9" x14ac:dyDescent="0.35">
      <c r="A421" t="s">
        <v>541</v>
      </c>
      <c r="B421" t="s">
        <v>85</v>
      </c>
      <c r="C421" t="s">
        <v>16</v>
      </c>
      <c r="D421" s="1">
        <v>45359</v>
      </c>
      <c r="E421">
        <v>762</v>
      </c>
      <c r="F421">
        <v>585</v>
      </c>
      <c r="G421">
        <v>177</v>
      </c>
      <c r="H421" t="s">
        <v>12</v>
      </c>
      <c r="I421" t="s">
        <v>28</v>
      </c>
    </row>
    <row r="422" spans="1:9" x14ac:dyDescent="0.35">
      <c r="A422" t="s">
        <v>542</v>
      </c>
      <c r="B422" t="s">
        <v>265</v>
      </c>
      <c r="C422" t="s">
        <v>31</v>
      </c>
      <c r="D422" s="1">
        <v>45087</v>
      </c>
      <c r="E422">
        <v>472</v>
      </c>
      <c r="F422">
        <v>194</v>
      </c>
      <c r="G422">
        <v>278</v>
      </c>
      <c r="H422" t="s">
        <v>12</v>
      </c>
      <c r="I422" t="s">
        <v>28</v>
      </c>
    </row>
    <row r="423" spans="1:9" x14ac:dyDescent="0.35">
      <c r="A423" t="s">
        <v>543</v>
      </c>
      <c r="B423" t="s">
        <v>91</v>
      </c>
      <c r="C423" t="s">
        <v>11</v>
      </c>
      <c r="D423" s="1">
        <v>45456</v>
      </c>
      <c r="E423">
        <v>713</v>
      </c>
      <c r="F423">
        <v>178</v>
      </c>
      <c r="G423">
        <v>535</v>
      </c>
      <c r="H423" t="s">
        <v>12</v>
      </c>
      <c r="I423" t="s">
        <v>20</v>
      </c>
    </row>
    <row r="424" spans="1:9" x14ac:dyDescent="0.35">
      <c r="A424" t="s">
        <v>544</v>
      </c>
      <c r="B424" t="s">
        <v>171</v>
      </c>
      <c r="C424" t="s">
        <v>19</v>
      </c>
      <c r="D424" s="1">
        <v>45441</v>
      </c>
      <c r="E424">
        <v>625</v>
      </c>
      <c r="F424">
        <v>469</v>
      </c>
      <c r="G424">
        <v>156</v>
      </c>
      <c r="H424" t="s">
        <v>12</v>
      </c>
      <c r="I424" t="s">
        <v>13</v>
      </c>
    </row>
    <row r="425" spans="1:9" x14ac:dyDescent="0.35">
      <c r="A425" t="s">
        <v>545</v>
      </c>
      <c r="B425" t="s">
        <v>384</v>
      </c>
      <c r="C425" t="s">
        <v>11</v>
      </c>
      <c r="D425" s="1">
        <v>45291</v>
      </c>
      <c r="E425">
        <v>178</v>
      </c>
      <c r="F425">
        <v>89</v>
      </c>
      <c r="G425">
        <v>89</v>
      </c>
      <c r="H425" t="s">
        <v>12</v>
      </c>
      <c r="I425" t="s">
        <v>24</v>
      </c>
    </row>
    <row r="426" spans="1:9" x14ac:dyDescent="0.35">
      <c r="A426" t="s">
        <v>546</v>
      </c>
      <c r="B426" t="s">
        <v>469</v>
      </c>
      <c r="C426" t="s">
        <v>16</v>
      </c>
      <c r="D426" s="1">
        <v>45417</v>
      </c>
      <c r="E426">
        <v>697</v>
      </c>
      <c r="F426">
        <v>174</v>
      </c>
      <c r="G426">
        <v>523</v>
      </c>
      <c r="H426" t="s">
        <v>12</v>
      </c>
      <c r="I426" t="s">
        <v>28</v>
      </c>
    </row>
    <row r="427" spans="1:9" x14ac:dyDescent="0.35">
      <c r="A427" t="s">
        <v>547</v>
      </c>
      <c r="B427" t="s">
        <v>130</v>
      </c>
      <c r="C427" t="s">
        <v>31</v>
      </c>
      <c r="D427" s="1">
        <v>45509</v>
      </c>
      <c r="E427">
        <v>718</v>
      </c>
      <c r="F427">
        <v>373</v>
      </c>
      <c r="G427">
        <v>345</v>
      </c>
      <c r="H427" t="s">
        <v>12</v>
      </c>
      <c r="I427" t="s">
        <v>32</v>
      </c>
    </row>
    <row r="428" spans="1:9" x14ac:dyDescent="0.35">
      <c r="A428" t="s">
        <v>548</v>
      </c>
      <c r="B428" t="s">
        <v>54</v>
      </c>
      <c r="C428" t="s">
        <v>31</v>
      </c>
      <c r="D428" s="1">
        <v>45243</v>
      </c>
      <c r="E428">
        <v>620</v>
      </c>
      <c r="F428">
        <v>482</v>
      </c>
      <c r="G428">
        <v>138</v>
      </c>
      <c r="H428" t="s">
        <v>12</v>
      </c>
      <c r="I428" t="s">
        <v>45</v>
      </c>
    </row>
    <row r="429" spans="1:9" x14ac:dyDescent="0.35">
      <c r="A429" t="s">
        <v>549</v>
      </c>
      <c r="B429" t="s">
        <v>214</v>
      </c>
      <c r="C429" t="s">
        <v>31</v>
      </c>
      <c r="D429" s="1">
        <v>45020</v>
      </c>
      <c r="E429">
        <v>400</v>
      </c>
      <c r="F429">
        <v>145</v>
      </c>
      <c r="G429">
        <v>255</v>
      </c>
      <c r="H429" t="s">
        <v>12</v>
      </c>
      <c r="I429" t="s">
        <v>24</v>
      </c>
    </row>
    <row r="430" spans="1:9" x14ac:dyDescent="0.35">
      <c r="A430" t="s">
        <v>550</v>
      </c>
      <c r="B430" t="s">
        <v>130</v>
      </c>
      <c r="C430" t="s">
        <v>23</v>
      </c>
      <c r="D430" s="1">
        <v>45366</v>
      </c>
      <c r="E430">
        <v>644</v>
      </c>
      <c r="F430">
        <v>347</v>
      </c>
      <c r="G430">
        <v>297</v>
      </c>
      <c r="H430" t="s">
        <v>12</v>
      </c>
      <c r="I430" t="s">
        <v>32</v>
      </c>
    </row>
    <row r="431" spans="1:9" x14ac:dyDescent="0.35">
      <c r="A431" t="s">
        <v>551</v>
      </c>
      <c r="B431" t="s">
        <v>10</v>
      </c>
      <c r="C431" t="s">
        <v>16</v>
      </c>
      <c r="D431" s="1">
        <v>45497</v>
      </c>
      <c r="E431">
        <v>173</v>
      </c>
      <c r="F431">
        <v>48</v>
      </c>
      <c r="G431">
        <v>125</v>
      </c>
      <c r="H431" t="s">
        <v>12</v>
      </c>
      <c r="I431" t="s">
        <v>32</v>
      </c>
    </row>
    <row r="432" spans="1:9" x14ac:dyDescent="0.35">
      <c r="A432" t="s">
        <v>552</v>
      </c>
      <c r="B432" t="s">
        <v>280</v>
      </c>
      <c r="C432" t="s">
        <v>11</v>
      </c>
      <c r="D432" s="1">
        <v>45081</v>
      </c>
      <c r="E432">
        <v>159</v>
      </c>
      <c r="F432">
        <v>118</v>
      </c>
      <c r="G432">
        <v>41</v>
      </c>
      <c r="H432" t="s">
        <v>12</v>
      </c>
      <c r="I432" t="s">
        <v>20</v>
      </c>
    </row>
    <row r="433" spans="1:9" x14ac:dyDescent="0.35">
      <c r="A433" t="s">
        <v>553</v>
      </c>
      <c r="B433" t="s">
        <v>127</v>
      </c>
      <c r="C433" t="s">
        <v>19</v>
      </c>
      <c r="D433" s="1">
        <v>45475</v>
      </c>
      <c r="E433">
        <v>338</v>
      </c>
      <c r="F433">
        <v>291</v>
      </c>
      <c r="G433">
        <v>47</v>
      </c>
      <c r="H433" t="s">
        <v>12</v>
      </c>
      <c r="I433" t="s">
        <v>28</v>
      </c>
    </row>
    <row r="434" spans="1:9" x14ac:dyDescent="0.35">
      <c r="A434" t="s">
        <v>554</v>
      </c>
      <c r="B434" t="s">
        <v>157</v>
      </c>
      <c r="C434" t="s">
        <v>16</v>
      </c>
      <c r="D434" s="1">
        <v>44996</v>
      </c>
      <c r="E434">
        <v>113</v>
      </c>
      <c r="F434">
        <v>21</v>
      </c>
      <c r="G434">
        <v>92</v>
      </c>
      <c r="H434" t="s">
        <v>12</v>
      </c>
      <c r="I434" t="s">
        <v>32</v>
      </c>
    </row>
    <row r="435" spans="1:9" x14ac:dyDescent="0.35">
      <c r="A435" t="s">
        <v>555</v>
      </c>
      <c r="B435" t="s">
        <v>54</v>
      </c>
      <c r="C435" t="s">
        <v>23</v>
      </c>
      <c r="D435" s="1">
        <v>45327</v>
      </c>
      <c r="E435">
        <v>603</v>
      </c>
      <c r="F435">
        <v>142</v>
      </c>
      <c r="G435">
        <v>461</v>
      </c>
      <c r="H435" t="s">
        <v>12</v>
      </c>
      <c r="I435" t="s">
        <v>20</v>
      </c>
    </row>
    <row r="436" spans="1:9" x14ac:dyDescent="0.35">
      <c r="A436" t="s">
        <v>556</v>
      </c>
      <c r="B436" t="s">
        <v>130</v>
      </c>
      <c r="C436" t="s">
        <v>23</v>
      </c>
      <c r="D436" s="1">
        <v>45300</v>
      </c>
      <c r="E436">
        <v>139</v>
      </c>
      <c r="F436">
        <v>92</v>
      </c>
      <c r="G436">
        <v>47</v>
      </c>
      <c r="H436" t="s">
        <v>12</v>
      </c>
      <c r="I436" t="s">
        <v>24</v>
      </c>
    </row>
    <row r="437" spans="1:9" x14ac:dyDescent="0.35">
      <c r="A437" t="s">
        <v>557</v>
      </c>
      <c r="B437" t="s">
        <v>175</v>
      </c>
      <c r="C437" t="s">
        <v>16</v>
      </c>
      <c r="D437" s="1">
        <v>45516</v>
      </c>
      <c r="E437">
        <v>127</v>
      </c>
      <c r="F437">
        <v>49</v>
      </c>
      <c r="G437">
        <v>78</v>
      </c>
      <c r="H437" t="s">
        <v>12</v>
      </c>
      <c r="I437" t="s">
        <v>24</v>
      </c>
    </row>
    <row r="438" spans="1:9" x14ac:dyDescent="0.35">
      <c r="A438" t="s">
        <v>558</v>
      </c>
      <c r="B438" t="s">
        <v>269</v>
      </c>
      <c r="C438" t="s">
        <v>19</v>
      </c>
      <c r="D438" s="1">
        <v>45490</v>
      </c>
      <c r="E438">
        <v>713</v>
      </c>
      <c r="F438">
        <v>299</v>
      </c>
      <c r="G438">
        <v>414</v>
      </c>
      <c r="H438" t="s">
        <v>12</v>
      </c>
      <c r="I438" t="s">
        <v>28</v>
      </c>
    </row>
    <row r="439" spans="1:9" x14ac:dyDescent="0.35">
      <c r="A439" t="s">
        <v>559</v>
      </c>
      <c r="B439" t="s">
        <v>136</v>
      </c>
      <c r="C439" t="s">
        <v>11</v>
      </c>
      <c r="D439" s="1">
        <v>45443</v>
      </c>
      <c r="E439">
        <v>321</v>
      </c>
      <c r="F439">
        <v>217</v>
      </c>
      <c r="G439">
        <v>104</v>
      </c>
      <c r="H439" t="s">
        <v>12</v>
      </c>
      <c r="I439" t="s">
        <v>32</v>
      </c>
    </row>
    <row r="440" spans="1:9" x14ac:dyDescent="0.35">
      <c r="A440" t="s">
        <v>560</v>
      </c>
      <c r="B440" t="s">
        <v>145</v>
      </c>
      <c r="C440" t="s">
        <v>19</v>
      </c>
      <c r="D440" s="1">
        <v>45468</v>
      </c>
      <c r="E440">
        <v>549</v>
      </c>
      <c r="F440">
        <v>522</v>
      </c>
      <c r="G440">
        <v>27</v>
      </c>
      <c r="H440" t="s">
        <v>12</v>
      </c>
      <c r="I440" t="s">
        <v>20</v>
      </c>
    </row>
    <row r="441" spans="1:9" x14ac:dyDescent="0.35">
      <c r="A441" t="s">
        <v>561</v>
      </c>
      <c r="B441" t="s">
        <v>478</v>
      </c>
      <c r="C441" t="s">
        <v>16</v>
      </c>
      <c r="D441" s="1">
        <v>44951</v>
      </c>
      <c r="E441">
        <v>773</v>
      </c>
      <c r="F441">
        <v>646</v>
      </c>
      <c r="G441">
        <v>127</v>
      </c>
      <c r="H441" t="s">
        <v>12</v>
      </c>
      <c r="I441" t="s">
        <v>13</v>
      </c>
    </row>
    <row r="442" spans="1:9" x14ac:dyDescent="0.35">
      <c r="A442" t="s">
        <v>562</v>
      </c>
      <c r="B442" t="s">
        <v>301</v>
      </c>
      <c r="C442" t="s">
        <v>31</v>
      </c>
      <c r="D442" s="1">
        <v>45351</v>
      </c>
      <c r="E442">
        <v>873</v>
      </c>
      <c r="F442">
        <v>814</v>
      </c>
      <c r="G442">
        <v>59</v>
      </c>
      <c r="H442" t="s">
        <v>12</v>
      </c>
      <c r="I442" t="s">
        <v>13</v>
      </c>
    </row>
    <row r="443" spans="1:9" x14ac:dyDescent="0.35">
      <c r="A443" t="s">
        <v>563</v>
      </c>
      <c r="B443" t="s">
        <v>132</v>
      </c>
      <c r="C443" t="s">
        <v>23</v>
      </c>
      <c r="D443" s="1">
        <v>44938</v>
      </c>
      <c r="E443">
        <v>662</v>
      </c>
      <c r="F443">
        <v>95</v>
      </c>
      <c r="G443">
        <v>567</v>
      </c>
      <c r="H443" t="s">
        <v>12</v>
      </c>
      <c r="I443" t="s">
        <v>20</v>
      </c>
    </row>
    <row r="444" spans="1:9" x14ac:dyDescent="0.35">
      <c r="A444" t="s">
        <v>564</v>
      </c>
      <c r="B444" t="s">
        <v>263</v>
      </c>
      <c r="C444" t="s">
        <v>11</v>
      </c>
      <c r="D444" s="1">
        <v>45258</v>
      </c>
      <c r="E444">
        <v>467</v>
      </c>
      <c r="F444">
        <v>446</v>
      </c>
      <c r="G444">
        <v>21</v>
      </c>
      <c r="H444" t="s">
        <v>12</v>
      </c>
      <c r="I444" t="s">
        <v>45</v>
      </c>
    </row>
    <row r="445" spans="1:9" x14ac:dyDescent="0.35">
      <c r="A445" t="s">
        <v>565</v>
      </c>
      <c r="B445" t="s">
        <v>48</v>
      </c>
      <c r="C445" t="s">
        <v>23</v>
      </c>
      <c r="D445" s="1">
        <v>45438</v>
      </c>
      <c r="E445">
        <v>281</v>
      </c>
      <c r="F445">
        <v>46</v>
      </c>
      <c r="G445">
        <v>235</v>
      </c>
      <c r="H445" t="s">
        <v>12</v>
      </c>
      <c r="I445" t="s">
        <v>20</v>
      </c>
    </row>
    <row r="446" spans="1:9" x14ac:dyDescent="0.35">
      <c r="A446" t="s">
        <v>566</v>
      </c>
      <c r="B446" t="s">
        <v>96</v>
      </c>
      <c r="C446" t="s">
        <v>27</v>
      </c>
      <c r="D446" s="1">
        <v>45480</v>
      </c>
      <c r="E446">
        <v>499</v>
      </c>
      <c r="F446">
        <v>34</v>
      </c>
      <c r="G446">
        <v>465</v>
      </c>
      <c r="H446" t="s">
        <v>12</v>
      </c>
      <c r="I446" t="s">
        <v>13</v>
      </c>
    </row>
    <row r="447" spans="1:9" x14ac:dyDescent="0.35">
      <c r="A447" t="s">
        <v>567</v>
      </c>
      <c r="B447" t="s">
        <v>259</v>
      </c>
      <c r="C447" t="s">
        <v>19</v>
      </c>
      <c r="D447" s="1">
        <v>44946</v>
      </c>
      <c r="E447">
        <v>302</v>
      </c>
      <c r="F447">
        <v>254</v>
      </c>
      <c r="G447">
        <v>48</v>
      </c>
      <c r="H447" t="s">
        <v>12</v>
      </c>
      <c r="I447" t="s">
        <v>28</v>
      </c>
    </row>
    <row r="448" spans="1:9" x14ac:dyDescent="0.35">
      <c r="A448" t="s">
        <v>568</v>
      </c>
      <c r="B448" t="s">
        <v>195</v>
      </c>
      <c r="C448" t="s">
        <v>16</v>
      </c>
      <c r="D448" s="1">
        <v>44943</v>
      </c>
      <c r="E448">
        <v>342</v>
      </c>
      <c r="F448">
        <v>156</v>
      </c>
      <c r="G448">
        <v>186</v>
      </c>
      <c r="H448" t="s">
        <v>12</v>
      </c>
      <c r="I448" t="s">
        <v>13</v>
      </c>
    </row>
    <row r="449" spans="1:9" x14ac:dyDescent="0.35">
      <c r="A449" t="s">
        <v>569</v>
      </c>
      <c r="B449" t="s">
        <v>89</v>
      </c>
      <c r="C449" t="s">
        <v>16</v>
      </c>
      <c r="D449" s="1">
        <v>45526</v>
      </c>
      <c r="E449">
        <v>227</v>
      </c>
      <c r="F449">
        <v>26</v>
      </c>
      <c r="G449">
        <v>201</v>
      </c>
      <c r="H449" t="s">
        <v>12</v>
      </c>
      <c r="I449" t="s">
        <v>28</v>
      </c>
    </row>
    <row r="450" spans="1:9" x14ac:dyDescent="0.35">
      <c r="A450" t="s">
        <v>570</v>
      </c>
      <c r="B450" t="s">
        <v>175</v>
      </c>
      <c r="C450" t="s">
        <v>11</v>
      </c>
      <c r="D450" s="1">
        <v>45252</v>
      </c>
      <c r="E450">
        <v>815</v>
      </c>
      <c r="F450">
        <v>730</v>
      </c>
      <c r="G450">
        <v>85</v>
      </c>
      <c r="H450" t="s">
        <v>12</v>
      </c>
      <c r="I450" t="s">
        <v>32</v>
      </c>
    </row>
    <row r="451" spans="1:9" x14ac:dyDescent="0.35">
      <c r="A451" t="s">
        <v>571</v>
      </c>
      <c r="B451" t="s">
        <v>59</v>
      </c>
      <c r="C451" t="s">
        <v>19</v>
      </c>
      <c r="D451" s="1">
        <v>45479</v>
      </c>
      <c r="E451">
        <v>244</v>
      </c>
      <c r="F451">
        <v>199</v>
      </c>
      <c r="G451">
        <v>45</v>
      </c>
      <c r="H451" t="s">
        <v>12</v>
      </c>
      <c r="I451" t="s">
        <v>24</v>
      </c>
    </row>
    <row r="452" spans="1:9" x14ac:dyDescent="0.35">
      <c r="A452" t="s">
        <v>572</v>
      </c>
      <c r="B452" t="s">
        <v>331</v>
      </c>
      <c r="C452" t="s">
        <v>31</v>
      </c>
      <c r="D452" s="1">
        <v>45210</v>
      </c>
      <c r="E452">
        <v>678</v>
      </c>
      <c r="F452">
        <v>202</v>
      </c>
      <c r="G452">
        <v>476</v>
      </c>
      <c r="H452" t="s">
        <v>12</v>
      </c>
      <c r="I452" t="s">
        <v>28</v>
      </c>
    </row>
    <row r="453" spans="1:9" x14ac:dyDescent="0.35">
      <c r="A453" t="s">
        <v>573</v>
      </c>
      <c r="B453" t="s">
        <v>238</v>
      </c>
      <c r="C453" t="s">
        <v>31</v>
      </c>
      <c r="D453" s="1">
        <v>45019</v>
      </c>
      <c r="E453">
        <v>741</v>
      </c>
      <c r="F453">
        <v>506</v>
      </c>
      <c r="G453">
        <v>235</v>
      </c>
      <c r="H453" t="s">
        <v>12</v>
      </c>
      <c r="I453" t="s">
        <v>13</v>
      </c>
    </row>
    <row r="454" spans="1:9" x14ac:dyDescent="0.35">
      <c r="A454" t="s">
        <v>574</v>
      </c>
      <c r="B454" t="s">
        <v>331</v>
      </c>
      <c r="C454" t="s">
        <v>16</v>
      </c>
      <c r="D454" s="1">
        <v>45197</v>
      </c>
      <c r="E454">
        <v>948</v>
      </c>
      <c r="F454">
        <v>55</v>
      </c>
      <c r="G454">
        <v>893</v>
      </c>
      <c r="H454" t="s">
        <v>12</v>
      </c>
      <c r="I454" t="s">
        <v>24</v>
      </c>
    </row>
    <row r="455" spans="1:9" x14ac:dyDescent="0.35">
      <c r="A455" t="s">
        <v>575</v>
      </c>
      <c r="B455" t="s">
        <v>145</v>
      </c>
      <c r="C455" t="s">
        <v>11</v>
      </c>
      <c r="D455" s="1">
        <v>45486</v>
      </c>
      <c r="E455">
        <v>983</v>
      </c>
      <c r="F455">
        <v>485</v>
      </c>
      <c r="G455">
        <v>498</v>
      </c>
      <c r="H455" t="s">
        <v>12</v>
      </c>
      <c r="I455" t="s">
        <v>13</v>
      </c>
    </row>
    <row r="456" spans="1:9" x14ac:dyDescent="0.35">
      <c r="A456" t="s">
        <v>576</v>
      </c>
      <c r="B456" t="s">
        <v>259</v>
      </c>
      <c r="C456" t="s">
        <v>27</v>
      </c>
      <c r="D456" s="1">
        <v>44944</v>
      </c>
      <c r="E456">
        <v>321</v>
      </c>
      <c r="F456">
        <v>289</v>
      </c>
      <c r="G456">
        <v>32</v>
      </c>
      <c r="H456" t="s">
        <v>12</v>
      </c>
      <c r="I456" t="s">
        <v>24</v>
      </c>
    </row>
    <row r="457" spans="1:9" x14ac:dyDescent="0.35">
      <c r="A457" t="s">
        <v>577</v>
      </c>
      <c r="B457" t="s">
        <v>159</v>
      </c>
      <c r="C457" t="s">
        <v>31</v>
      </c>
      <c r="D457" s="1">
        <v>45000</v>
      </c>
      <c r="E457">
        <v>594</v>
      </c>
      <c r="F457">
        <v>33</v>
      </c>
      <c r="G457">
        <v>561</v>
      </c>
      <c r="H457" t="s">
        <v>12</v>
      </c>
      <c r="I457" t="s">
        <v>13</v>
      </c>
    </row>
    <row r="458" spans="1:9" x14ac:dyDescent="0.35">
      <c r="A458" t="s">
        <v>578</v>
      </c>
      <c r="B458" t="s">
        <v>384</v>
      </c>
      <c r="C458" t="s">
        <v>19</v>
      </c>
      <c r="D458" s="1">
        <v>45094</v>
      </c>
      <c r="E458">
        <v>726</v>
      </c>
      <c r="F458">
        <v>146</v>
      </c>
      <c r="G458">
        <v>580</v>
      </c>
      <c r="H458" t="s">
        <v>12</v>
      </c>
      <c r="I458" t="s">
        <v>28</v>
      </c>
    </row>
    <row r="459" spans="1:9" x14ac:dyDescent="0.35">
      <c r="A459" t="s">
        <v>579</v>
      </c>
      <c r="B459" t="s">
        <v>506</v>
      </c>
      <c r="C459" t="s">
        <v>19</v>
      </c>
      <c r="D459" s="1">
        <v>45266</v>
      </c>
      <c r="E459">
        <v>468</v>
      </c>
      <c r="F459">
        <v>374</v>
      </c>
      <c r="G459">
        <v>94</v>
      </c>
      <c r="H459" t="s">
        <v>12</v>
      </c>
      <c r="I459" t="s">
        <v>28</v>
      </c>
    </row>
    <row r="460" spans="1:9" x14ac:dyDescent="0.35">
      <c r="A460" t="s">
        <v>580</v>
      </c>
      <c r="B460" t="s">
        <v>59</v>
      </c>
      <c r="C460" t="s">
        <v>27</v>
      </c>
      <c r="D460" s="1">
        <v>45086</v>
      </c>
      <c r="E460">
        <v>908</v>
      </c>
      <c r="F460">
        <v>73</v>
      </c>
      <c r="G460">
        <v>835</v>
      </c>
      <c r="H460" t="s">
        <v>12</v>
      </c>
      <c r="I460" t="s">
        <v>20</v>
      </c>
    </row>
    <row r="461" spans="1:9" x14ac:dyDescent="0.35">
      <c r="A461" t="s">
        <v>581</v>
      </c>
      <c r="B461" t="s">
        <v>322</v>
      </c>
      <c r="C461" t="s">
        <v>19</v>
      </c>
      <c r="D461" s="1">
        <v>45402</v>
      </c>
      <c r="E461">
        <v>584</v>
      </c>
      <c r="F461">
        <v>543</v>
      </c>
      <c r="G461">
        <v>41</v>
      </c>
      <c r="H461" t="s">
        <v>12</v>
      </c>
      <c r="I461" t="s">
        <v>20</v>
      </c>
    </row>
    <row r="462" spans="1:9" x14ac:dyDescent="0.35">
      <c r="A462" t="s">
        <v>582</v>
      </c>
      <c r="B462" t="s">
        <v>89</v>
      </c>
      <c r="C462" t="s">
        <v>27</v>
      </c>
      <c r="D462" s="1">
        <v>45387</v>
      </c>
      <c r="E462">
        <v>642</v>
      </c>
      <c r="F462">
        <v>564</v>
      </c>
      <c r="G462">
        <v>78</v>
      </c>
      <c r="H462" t="s">
        <v>12</v>
      </c>
      <c r="I462" t="s">
        <v>24</v>
      </c>
    </row>
    <row r="463" spans="1:9" x14ac:dyDescent="0.35">
      <c r="A463" t="s">
        <v>583</v>
      </c>
      <c r="B463" t="s">
        <v>85</v>
      </c>
      <c r="C463" t="s">
        <v>27</v>
      </c>
      <c r="D463" s="1">
        <v>45164</v>
      </c>
      <c r="E463">
        <v>749</v>
      </c>
      <c r="F463">
        <v>253</v>
      </c>
      <c r="G463">
        <v>496</v>
      </c>
      <c r="H463" t="s">
        <v>12</v>
      </c>
      <c r="I463" t="s">
        <v>20</v>
      </c>
    </row>
    <row r="464" spans="1:9" x14ac:dyDescent="0.35">
      <c r="A464" t="s">
        <v>584</v>
      </c>
      <c r="B464" t="s">
        <v>115</v>
      </c>
      <c r="C464" t="s">
        <v>16</v>
      </c>
      <c r="D464" s="1">
        <v>45503</v>
      </c>
      <c r="E464">
        <v>149</v>
      </c>
      <c r="F464">
        <v>18</v>
      </c>
      <c r="G464">
        <v>131</v>
      </c>
      <c r="H464" t="s">
        <v>12</v>
      </c>
      <c r="I464" t="s">
        <v>28</v>
      </c>
    </row>
    <row r="465" spans="1:9" x14ac:dyDescent="0.35">
      <c r="A465" t="s">
        <v>585</v>
      </c>
      <c r="B465" t="s">
        <v>214</v>
      </c>
      <c r="C465" t="s">
        <v>31</v>
      </c>
      <c r="D465" s="1">
        <v>45519</v>
      </c>
      <c r="E465">
        <v>359</v>
      </c>
      <c r="F465">
        <v>301</v>
      </c>
      <c r="G465">
        <v>58</v>
      </c>
      <c r="H465" t="s">
        <v>12</v>
      </c>
      <c r="I465" t="s">
        <v>32</v>
      </c>
    </row>
    <row r="466" spans="1:9" x14ac:dyDescent="0.35">
      <c r="A466" t="s">
        <v>586</v>
      </c>
      <c r="B466" t="s">
        <v>263</v>
      </c>
      <c r="C466" t="s">
        <v>16</v>
      </c>
      <c r="D466" s="1">
        <v>45079</v>
      </c>
      <c r="E466">
        <v>162</v>
      </c>
      <c r="F466">
        <v>147</v>
      </c>
      <c r="G466">
        <v>15</v>
      </c>
      <c r="H466" t="s">
        <v>12</v>
      </c>
      <c r="I466" t="s">
        <v>45</v>
      </c>
    </row>
    <row r="467" spans="1:9" x14ac:dyDescent="0.35">
      <c r="A467" t="s">
        <v>587</v>
      </c>
      <c r="B467" t="s">
        <v>72</v>
      </c>
      <c r="C467" t="s">
        <v>31</v>
      </c>
      <c r="D467" s="1">
        <v>45096</v>
      </c>
      <c r="E467">
        <v>734</v>
      </c>
      <c r="F467">
        <v>668</v>
      </c>
      <c r="G467">
        <v>66</v>
      </c>
      <c r="H467" t="s">
        <v>12</v>
      </c>
      <c r="I467" t="s">
        <v>28</v>
      </c>
    </row>
    <row r="468" spans="1:9" x14ac:dyDescent="0.35">
      <c r="A468" t="s">
        <v>588</v>
      </c>
      <c r="B468" t="s">
        <v>138</v>
      </c>
      <c r="C468" t="s">
        <v>19</v>
      </c>
      <c r="D468" s="1">
        <v>45508</v>
      </c>
      <c r="E468">
        <v>484</v>
      </c>
      <c r="F468">
        <v>144</v>
      </c>
      <c r="G468">
        <v>340</v>
      </c>
      <c r="H468" t="s">
        <v>12</v>
      </c>
      <c r="I468" t="s">
        <v>28</v>
      </c>
    </row>
    <row r="469" spans="1:9" x14ac:dyDescent="0.35">
      <c r="A469" t="s">
        <v>589</v>
      </c>
      <c r="B469" t="s">
        <v>506</v>
      </c>
      <c r="C469" t="s">
        <v>16</v>
      </c>
      <c r="D469" s="1">
        <v>45335</v>
      </c>
      <c r="E469">
        <v>623</v>
      </c>
      <c r="F469">
        <v>550</v>
      </c>
      <c r="G469">
        <v>73</v>
      </c>
      <c r="H469" t="s">
        <v>12</v>
      </c>
      <c r="I469" t="s">
        <v>13</v>
      </c>
    </row>
    <row r="470" spans="1:9" x14ac:dyDescent="0.35">
      <c r="A470" t="s">
        <v>590</v>
      </c>
      <c r="B470" t="s">
        <v>134</v>
      </c>
      <c r="C470" t="s">
        <v>11</v>
      </c>
      <c r="D470" s="1">
        <v>45491</v>
      </c>
      <c r="E470">
        <v>168</v>
      </c>
      <c r="F470">
        <v>50</v>
      </c>
      <c r="G470">
        <v>118</v>
      </c>
      <c r="H470" t="s">
        <v>12</v>
      </c>
      <c r="I470" t="s">
        <v>45</v>
      </c>
    </row>
    <row r="471" spans="1:9" x14ac:dyDescent="0.35">
      <c r="A471" t="s">
        <v>591</v>
      </c>
      <c r="B471" t="s">
        <v>40</v>
      </c>
      <c r="C471" t="s">
        <v>31</v>
      </c>
      <c r="D471" s="1">
        <v>45240</v>
      </c>
      <c r="E471">
        <v>826</v>
      </c>
      <c r="F471">
        <v>131</v>
      </c>
      <c r="G471">
        <v>695</v>
      </c>
      <c r="H471" t="s">
        <v>12</v>
      </c>
      <c r="I471" t="s">
        <v>45</v>
      </c>
    </row>
    <row r="472" spans="1:9" x14ac:dyDescent="0.35">
      <c r="A472" t="s">
        <v>592</v>
      </c>
      <c r="B472" t="s">
        <v>72</v>
      </c>
      <c r="C472" t="s">
        <v>16</v>
      </c>
      <c r="D472" s="1">
        <v>45255</v>
      </c>
      <c r="E472">
        <v>592</v>
      </c>
      <c r="F472">
        <v>408</v>
      </c>
      <c r="G472">
        <v>184</v>
      </c>
      <c r="H472" t="s">
        <v>12</v>
      </c>
      <c r="I472" t="s">
        <v>20</v>
      </c>
    </row>
    <row r="473" spans="1:9" x14ac:dyDescent="0.35">
      <c r="A473" t="s">
        <v>593</v>
      </c>
      <c r="B473" t="s">
        <v>50</v>
      </c>
      <c r="C473" t="s">
        <v>23</v>
      </c>
      <c r="D473" s="1">
        <v>45509</v>
      </c>
      <c r="E473">
        <v>806</v>
      </c>
      <c r="F473">
        <v>439</v>
      </c>
      <c r="G473">
        <v>367</v>
      </c>
      <c r="H473" t="s">
        <v>12</v>
      </c>
      <c r="I473" t="s">
        <v>13</v>
      </c>
    </row>
    <row r="474" spans="1:9" x14ac:dyDescent="0.35">
      <c r="A474" t="s">
        <v>594</v>
      </c>
      <c r="B474" t="s">
        <v>118</v>
      </c>
      <c r="C474" t="s">
        <v>27</v>
      </c>
      <c r="D474" s="1">
        <v>45382</v>
      </c>
      <c r="E474">
        <v>138</v>
      </c>
      <c r="F474">
        <v>23</v>
      </c>
      <c r="G474">
        <v>115</v>
      </c>
      <c r="H474" t="s">
        <v>12</v>
      </c>
      <c r="I474" t="s">
        <v>28</v>
      </c>
    </row>
    <row r="475" spans="1:9" x14ac:dyDescent="0.35">
      <c r="A475" t="s">
        <v>595</v>
      </c>
      <c r="B475" t="s">
        <v>63</v>
      </c>
      <c r="C475" t="s">
        <v>23</v>
      </c>
      <c r="D475" s="1">
        <v>45279</v>
      </c>
      <c r="E475">
        <v>501</v>
      </c>
      <c r="F475">
        <v>13</v>
      </c>
      <c r="G475">
        <v>488</v>
      </c>
      <c r="H475" t="s">
        <v>12</v>
      </c>
      <c r="I475" t="s">
        <v>24</v>
      </c>
    </row>
    <row r="476" spans="1:9" x14ac:dyDescent="0.35">
      <c r="A476" t="s">
        <v>596</v>
      </c>
      <c r="B476" t="s">
        <v>265</v>
      </c>
      <c r="C476" t="s">
        <v>19</v>
      </c>
      <c r="D476" s="1">
        <v>45188</v>
      </c>
      <c r="E476">
        <v>793</v>
      </c>
      <c r="F476">
        <v>201</v>
      </c>
      <c r="G476">
        <v>592</v>
      </c>
      <c r="H476" t="s">
        <v>12</v>
      </c>
      <c r="I476" t="s">
        <v>13</v>
      </c>
    </row>
    <row r="477" spans="1:9" x14ac:dyDescent="0.35">
      <c r="A477" t="s">
        <v>597</v>
      </c>
      <c r="B477" t="s">
        <v>265</v>
      </c>
      <c r="C477" t="s">
        <v>31</v>
      </c>
      <c r="D477" s="1">
        <v>45475</v>
      </c>
      <c r="E477">
        <v>953</v>
      </c>
      <c r="F477">
        <v>696</v>
      </c>
      <c r="G477">
        <v>257</v>
      </c>
      <c r="H477" t="s">
        <v>12</v>
      </c>
      <c r="I477" t="s">
        <v>20</v>
      </c>
    </row>
    <row r="478" spans="1:9" x14ac:dyDescent="0.35">
      <c r="A478" t="s">
        <v>598</v>
      </c>
      <c r="B478" t="s">
        <v>87</v>
      </c>
      <c r="C478" t="s">
        <v>23</v>
      </c>
      <c r="D478" s="1">
        <v>45466</v>
      </c>
      <c r="E478">
        <v>163</v>
      </c>
      <c r="F478">
        <v>148</v>
      </c>
      <c r="G478">
        <v>15</v>
      </c>
      <c r="H478" t="s">
        <v>12</v>
      </c>
      <c r="I478" t="s">
        <v>24</v>
      </c>
    </row>
    <row r="479" spans="1:9" x14ac:dyDescent="0.35">
      <c r="A479" t="s">
        <v>599</v>
      </c>
      <c r="B479" t="s">
        <v>238</v>
      </c>
      <c r="C479" t="s">
        <v>16</v>
      </c>
      <c r="D479" s="1">
        <v>45377</v>
      </c>
      <c r="E479">
        <v>548</v>
      </c>
      <c r="F479">
        <v>347</v>
      </c>
      <c r="G479">
        <v>201</v>
      </c>
      <c r="H479" t="s">
        <v>12</v>
      </c>
      <c r="I479" t="s">
        <v>32</v>
      </c>
    </row>
    <row r="480" spans="1:9" x14ac:dyDescent="0.35">
      <c r="A480" t="s">
        <v>600</v>
      </c>
      <c r="B480" t="s">
        <v>175</v>
      </c>
      <c r="C480" t="s">
        <v>27</v>
      </c>
      <c r="D480" s="1">
        <v>45335</v>
      </c>
      <c r="E480">
        <v>192</v>
      </c>
      <c r="F480">
        <v>93</v>
      </c>
      <c r="G480">
        <v>99</v>
      </c>
      <c r="H480" t="s">
        <v>12</v>
      </c>
      <c r="I480" t="s">
        <v>32</v>
      </c>
    </row>
    <row r="481" spans="1:9" x14ac:dyDescent="0.35">
      <c r="A481" t="s">
        <v>601</v>
      </c>
      <c r="B481" t="s">
        <v>103</v>
      </c>
      <c r="C481" t="s">
        <v>19</v>
      </c>
      <c r="D481" s="1">
        <v>45231</v>
      </c>
      <c r="E481">
        <v>649</v>
      </c>
      <c r="F481">
        <v>446</v>
      </c>
      <c r="G481">
        <v>203</v>
      </c>
      <c r="H481" t="s">
        <v>12</v>
      </c>
      <c r="I481" t="s">
        <v>28</v>
      </c>
    </row>
    <row r="482" spans="1:9" x14ac:dyDescent="0.35">
      <c r="A482" t="s">
        <v>602</v>
      </c>
      <c r="B482" t="s">
        <v>280</v>
      </c>
      <c r="C482" t="s">
        <v>31</v>
      </c>
      <c r="D482" s="1">
        <v>45089</v>
      </c>
      <c r="E482">
        <v>209</v>
      </c>
      <c r="F482">
        <v>130</v>
      </c>
      <c r="G482">
        <v>79</v>
      </c>
      <c r="H482" t="s">
        <v>12</v>
      </c>
      <c r="I482" t="s">
        <v>13</v>
      </c>
    </row>
    <row r="483" spans="1:9" x14ac:dyDescent="0.35">
      <c r="A483" t="s">
        <v>603</v>
      </c>
      <c r="B483" t="s">
        <v>464</v>
      </c>
      <c r="C483" t="s">
        <v>27</v>
      </c>
      <c r="D483" s="1">
        <v>45317</v>
      </c>
      <c r="E483">
        <v>569</v>
      </c>
      <c r="F483">
        <v>253</v>
      </c>
      <c r="G483">
        <v>316</v>
      </c>
      <c r="H483" t="s">
        <v>12</v>
      </c>
      <c r="I483" t="s">
        <v>45</v>
      </c>
    </row>
    <row r="484" spans="1:9" x14ac:dyDescent="0.35">
      <c r="A484" t="s">
        <v>604</v>
      </c>
      <c r="B484" t="s">
        <v>223</v>
      </c>
      <c r="C484" t="s">
        <v>11</v>
      </c>
      <c r="D484" s="1">
        <v>45084</v>
      </c>
      <c r="E484">
        <v>858</v>
      </c>
      <c r="F484">
        <v>565</v>
      </c>
      <c r="G484">
        <v>293</v>
      </c>
      <c r="H484" t="s">
        <v>12</v>
      </c>
      <c r="I484" t="s">
        <v>24</v>
      </c>
    </row>
    <row r="485" spans="1:9" x14ac:dyDescent="0.35">
      <c r="A485" t="s">
        <v>605</v>
      </c>
      <c r="B485" t="s">
        <v>206</v>
      </c>
      <c r="C485" t="s">
        <v>27</v>
      </c>
      <c r="D485" s="1">
        <v>45270</v>
      </c>
      <c r="E485">
        <v>670</v>
      </c>
      <c r="F485">
        <v>10</v>
      </c>
      <c r="G485">
        <v>660</v>
      </c>
      <c r="H485" t="s">
        <v>12</v>
      </c>
      <c r="I485" t="s">
        <v>24</v>
      </c>
    </row>
    <row r="486" spans="1:9" x14ac:dyDescent="0.35">
      <c r="A486" t="s">
        <v>606</v>
      </c>
      <c r="B486" t="s">
        <v>244</v>
      </c>
      <c r="C486" t="s">
        <v>16</v>
      </c>
      <c r="D486" s="1">
        <v>45083</v>
      </c>
      <c r="E486">
        <v>604</v>
      </c>
      <c r="F486">
        <v>75</v>
      </c>
      <c r="G486">
        <v>529</v>
      </c>
      <c r="H486" t="s">
        <v>12</v>
      </c>
      <c r="I486" t="s">
        <v>32</v>
      </c>
    </row>
    <row r="487" spans="1:9" x14ac:dyDescent="0.35">
      <c r="A487" t="s">
        <v>607</v>
      </c>
      <c r="B487" t="s">
        <v>159</v>
      </c>
      <c r="C487" t="s">
        <v>27</v>
      </c>
      <c r="D487" s="1">
        <v>45104</v>
      </c>
      <c r="E487">
        <v>980</v>
      </c>
      <c r="F487">
        <v>722</v>
      </c>
      <c r="G487">
        <v>258</v>
      </c>
      <c r="H487" t="s">
        <v>12</v>
      </c>
      <c r="I487" t="s">
        <v>28</v>
      </c>
    </row>
    <row r="488" spans="1:9" x14ac:dyDescent="0.35">
      <c r="A488" t="s">
        <v>608</v>
      </c>
      <c r="B488" t="s">
        <v>404</v>
      </c>
      <c r="C488" t="s">
        <v>23</v>
      </c>
      <c r="D488" s="1">
        <v>45193</v>
      </c>
      <c r="E488">
        <v>100</v>
      </c>
      <c r="F488">
        <v>78</v>
      </c>
      <c r="G488">
        <v>22</v>
      </c>
      <c r="H488" t="s">
        <v>12</v>
      </c>
      <c r="I488" t="s">
        <v>28</v>
      </c>
    </row>
    <row r="489" spans="1:9" x14ac:dyDescent="0.35">
      <c r="A489" t="s">
        <v>609</v>
      </c>
      <c r="B489" t="s">
        <v>157</v>
      </c>
      <c r="C489" t="s">
        <v>11</v>
      </c>
      <c r="D489" s="1">
        <v>44956</v>
      </c>
      <c r="E489">
        <v>211</v>
      </c>
      <c r="F489">
        <v>4</v>
      </c>
      <c r="G489">
        <v>207</v>
      </c>
      <c r="H489" t="s">
        <v>12</v>
      </c>
      <c r="I489" t="s">
        <v>45</v>
      </c>
    </row>
    <row r="490" spans="1:9" x14ac:dyDescent="0.35">
      <c r="A490" t="s">
        <v>610</v>
      </c>
      <c r="B490" t="s">
        <v>48</v>
      </c>
      <c r="C490" t="s">
        <v>23</v>
      </c>
      <c r="D490" s="1">
        <v>45444</v>
      </c>
      <c r="E490">
        <v>177</v>
      </c>
      <c r="F490">
        <v>115</v>
      </c>
      <c r="G490">
        <v>62</v>
      </c>
      <c r="H490" t="s">
        <v>12</v>
      </c>
      <c r="I490" t="s">
        <v>32</v>
      </c>
    </row>
    <row r="491" spans="1:9" x14ac:dyDescent="0.35">
      <c r="A491" t="s">
        <v>611</v>
      </c>
      <c r="B491" t="s">
        <v>78</v>
      </c>
      <c r="C491" t="s">
        <v>19</v>
      </c>
      <c r="D491" s="1">
        <v>45253</v>
      </c>
      <c r="E491">
        <v>810</v>
      </c>
      <c r="F491">
        <v>457</v>
      </c>
      <c r="G491">
        <v>353</v>
      </c>
      <c r="H491" t="s">
        <v>12</v>
      </c>
      <c r="I491" t="s">
        <v>13</v>
      </c>
    </row>
    <row r="492" spans="1:9" x14ac:dyDescent="0.35">
      <c r="A492" t="s">
        <v>612</v>
      </c>
      <c r="B492" t="s">
        <v>375</v>
      </c>
      <c r="C492" t="s">
        <v>11</v>
      </c>
      <c r="D492" s="1">
        <v>45036</v>
      </c>
      <c r="E492">
        <v>663</v>
      </c>
      <c r="F492">
        <v>536</v>
      </c>
      <c r="G492">
        <v>127</v>
      </c>
      <c r="H492" t="s">
        <v>12</v>
      </c>
      <c r="I492" t="s">
        <v>24</v>
      </c>
    </row>
    <row r="493" spans="1:9" x14ac:dyDescent="0.35">
      <c r="A493" t="s">
        <v>613</v>
      </c>
      <c r="B493" t="s">
        <v>150</v>
      </c>
      <c r="C493" t="s">
        <v>19</v>
      </c>
      <c r="D493" s="1">
        <v>45322</v>
      </c>
      <c r="E493">
        <v>762</v>
      </c>
      <c r="F493">
        <v>65</v>
      </c>
      <c r="G493">
        <v>697</v>
      </c>
      <c r="H493" t="s">
        <v>12</v>
      </c>
      <c r="I493" t="s">
        <v>20</v>
      </c>
    </row>
    <row r="494" spans="1:9" x14ac:dyDescent="0.35">
      <c r="A494" t="s">
        <v>614</v>
      </c>
      <c r="B494" t="s">
        <v>80</v>
      </c>
      <c r="C494" t="s">
        <v>27</v>
      </c>
      <c r="D494" s="1">
        <v>45020</v>
      </c>
      <c r="E494">
        <v>227</v>
      </c>
      <c r="F494">
        <v>58</v>
      </c>
      <c r="G494">
        <v>169</v>
      </c>
      <c r="H494" t="s">
        <v>12</v>
      </c>
      <c r="I494" t="s">
        <v>45</v>
      </c>
    </row>
    <row r="495" spans="1:9" x14ac:dyDescent="0.35">
      <c r="A495" t="s">
        <v>615</v>
      </c>
      <c r="B495" t="s">
        <v>301</v>
      </c>
      <c r="C495" t="s">
        <v>16</v>
      </c>
      <c r="D495" s="1">
        <v>44967</v>
      </c>
      <c r="E495">
        <v>349</v>
      </c>
      <c r="F495">
        <v>9</v>
      </c>
      <c r="G495">
        <v>340</v>
      </c>
      <c r="H495" t="s">
        <v>12</v>
      </c>
      <c r="I495" t="s">
        <v>20</v>
      </c>
    </row>
    <row r="496" spans="1:9" x14ac:dyDescent="0.35">
      <c r="A496" t="s">
        <v>616</v>
      </c>
      <c r="B496" t="s">
        <v>54</v>
      </c>
      <c r="C496" t="s">
        <v>11</v>
      </c>
      <c r="D496" s="1">
        <v>45051</v>
      </c>
      <c r="E496">
        <v>610</v>
      </c>
      <c r="F496">
        <v>29</v>
      </c>
      <c r="G496">
        <v>581</v>
      </c>
      <c r="H496" t="s">
        <v>12</v>
      </c>
      <c r="I496" t="s">
        <v>24</v>
      </c>
    </row>
    <row r="497" spans="1:9" x14ac:dyDescent="0.35">
      <c r="A497" t="s">
        <v>617</v>
      </c>
      <c r="B497" t="s">
        <v>178</v>
      </c>
      <c r="C497" t="s">
        <v>11</v>
      </c>
      <c r="D497" s="1">
        <v>45061</v>
      </c>
      <c r="E497">
        <v>887</v>
      </c>
      <c r="F497">
        <v>493</v>
      </c>
      <c r="G497">
        <v>394</v>
      </c>
      <c r="H497" t="s">
        <v>12</v>
      </c>
      <c r="I497" t="s">
        <v>28</v>
      </c>
    </row>
    <row r="498" spans="1:9" x14ac:dyDescent="0.35">
      <c r="A498" t="s">
        <v>618</v>
      </c>
      <c r="B498" t="s">
        <v>56</v>
      </c>
      <c r="C498" t="s">
        <v>16</v>
      </c>
      <c r="D498" s="1">
        <v>45072</v>
      </c>
      <c r="E498">
        <v>650</v>
      </c>
      <c r="F498">
        <v>626</v>
      </c>
      <c r="G498">
        <v>24</v>
      </c>
      <c r="H498" t="s">
        <v>12</v>
      </c>
      <c r="I498" t="s">
        <v>24</v>
      </c>
    </row>
    <row r="499" spans="1:9" x14ac:dyDescent="0.35">
      <c r="A499" t="s">
        <v>619</v>
      </c>
      <c r="B499" t="s">
        <v>178</v>
      </c>
      <c r="C499" t="s">
        <v>31</v>
      </c>
      <c r="D499" s="1">
        <v>45302</v>
      </c>
      <c r="E499">
        <v>359</v>
      </c>
      <c r="F499">
        <v>75</v>
      </c>
      <c r="G499">
        <v>284</v>
      </c>
      <c r="H499" t="s">
        <v>12</v>
      </c>
      <c r="I499" t="s">
        <v>20</v>
      </c>
    </row>
    <row r="500" spans="1:9" x14ac:dyDescent="0.35">
      <c r="A500" t="s">
        <v>620</v>
      </c>
      <c r="B500" t="s">
        <v>56</v>
      </c>
      <c r="C500" t="s">
        <v>31</v>
      </c>
      <c r="D500" s="1">
        <v>45143</v>
      </c>
      <c r="E500">
        <v>850</v>
      </c>
      <c r="F500">
        <v>532</v>
      </c>
      <c r="G500">
        <v>318</v>
      </c>
      <c r="H500" t="s">
        <v>12</v>
      </c>
      <c r="I500" t="s">
        <v>45</v>
      </c>
    </row>
    <row r="501" spans="1:9" x14ac:dyDescent="0.35">
      <c r="A501" t="s">
        <v>621</v>
      </c>
      <c r="B501" t="s">
        <v>506</v>
      </c>
      <c r="C501" t="s">
        <v>11</v>
      </c>
      <c r="D501" s="1">
        <v>45128</v>
      </c>
      <c r="E501">
        <v>775</v>
      </c>
      <c r="F501">
        <v>357</v>
      </c>
      <c r="G501">
        <v>418</v>
      </c>
      <c r="H501" t="s">
        <v>12</v>
      </c>
      <c r="I501" t="s">
        <v>24</v>
      </c>
    </row>
    <row r="502" spans="1:9" x14ac:dyDescent="0.35">
      <c r="A502" t="s">
        <v>622</v>
      </c>
      <c r="B502" t="s">
        <v>136</v>
      </c>
      <c r="C502" t="s">
        <v>16</v>
      </c>
      <c r="D502" s="1">
        <v>45445</v>
      </c>
      <c r="E502">
        <v>391</v>
      </c>
      <c r="F502">
        <v>208</v>
      </c>
      <c r="G502">
        <v>183</v>
      </c>
      <c r="H502" t="s">
        <v>12</v>
      </c>
      <c r="I502" t="s">
        <v>28</v>
      </c>
    </row>
    <row r="503" spans="1:9" x14ac:dyDescent="0.35">
      <c r="A503" t="s">
        <v>623</v>
      </c>
      <c r="B503" t="s">
        <v>136</v>
      </c>
      <c r="C503" t="s">
        <v>27</v>
      </c>
      <c r="D503" s="1">
        <v>45351</v>
      </c>
      <c r="E503">
        <v>776</v>
      </c>
      <c r="F503">
        <v>179</v>
      </c>
      <c r="G503">
        <v>597</v>
      </c>
      <c r="H503" t="s">
        <v>12</v>
      </c>
      <c r="I503" t="s">
        <v>28</v>
      </c>
    </row>
    <row r="504" spans="1:9" x14ac:dyDescent="0.35">
      <c r="A504" t="s">
        <v>624</v>
      </c>
      <c r="B504" t="s">
        <v>34</v>
      </c>
      <c r="C504" t="s">
        <v>27</v>
      </c>
      <c r="D504" s="1">
        <v>45175</v>
      </c>
      <c r="E504">
        <v>333</v>
      </c>
      <c r="F504">
        <v>57</v>
      </c>
      <c r="G504">
        <v>276</v>
      </c>
      <c r="H504" t="s">
        <v>12</v>
      </c>
      <c r="I504" t="s">
        <v>24</v>
      </c>
    </row>
    <row r="505" spans="1:9" x14ac:dyDescent="0.35">
      <c r="A505" t="s">
        <v>625</v>
      </c>
      <c r="B505" t="s">
        <v>10</v>
      </c>
      <c r="C505" t="s">
        <v>19</v>
      </c>
      <c r="D505" s="1">
        <v>45046</v>
      </c>
      <c r="E505">
        <v>144</v>
      </c>
      <c r="F505">
        <v>136</v>
      </c>
      <c r="G505">
        <v>8</v>
      </c>
      <c r="H505" t="s">
        <v>12</v>
      </c>
      <c r="I505" t="s">
        <v>32</v>
      </c>
    </row>
    <row r="506" spans="1:9" x14ac:dyDescent="0.35">
      <c r="A506" t="s">
        <v>626</v>
      </c>
      <c r="B506" t="s">
        <v>63</v>
      </c>
      <c r="C506" t="s">
        <v>27</v>
      </c>
      <c r="D506" s="1">
        <v>45347</v>
      </c>
      <c r="E506">
        <v>898</v>
      </c>
      <c r="F506">
        <v>281</v>
      </c>
      <c r="G506">
        <v>617</v>
      </c>
      <c r="H506" t="s">
        <v>12</v>
      </c>
      <c r="I506" t="s">
        <v>28</v>
      </c>
    </row>
    <row r="507" spans="1:9" x14ac:dyDescent="0.35">
      <c r="A507" t="s">
        <v>627</v>
      </c>
      <c r="B507" t="s">
        <v>134</v>
      </c>
      <c r="C507" t="s">
        <v>27</v>
      </c>
      <c r="D507" s="1">
        <v>44960</v>
      </c>
      <c r="E507">
        <v>416</v>
      </c>
      <c r="F507">
        <v>73</v>
      </c>
      <c r="G507">
        <v>343</v>
      </c>
      <c r="H507" t="s">
        <v>12</v>
      </c>
      <c r="I507" t="s">
        <v>20</v>
      </c>
    </row>
    <row r="508" spans="1:9" x14ac:dyDescent="0.35">
      <c r="A508" t="s">
        <v>628</v>
      </c>
      <c r="B508" t="s">
        <v>103</v>
      </c>
      <c r="C508" t="s">
        <v>16</v>
      </c>
      <c r="D508" s="1">
        <v>45427</v>
      </c>
      <c r="E508">
        <v>814</v>
      </c>
      <c r="F508">
        <v>297</v>
      </c>
      <c r="G508">
        <v>517</v>
      </c>
      <c r="H508" t="s">
        <v>12</v>
      </c>
      <c r="I508" t="s">
        <v>24</v>
      </c>
    </row>
    <row r="509" spans="1:9" x14ac:dyDescent="0.35">
      <c r="A509" t="s">
        <v>629</v>
      </c>
      <c r="B509" t="s">
        <v>132</v>
      </c>
      <c r="C509" t="s">
        <v>23</v>
      </c>
      <c r="D509" s="1">
        <v>44977</v>
      </c>
      <c r="E509">
        <v>342</v>
      </c>
      <c r="F509">
        <v>77</v>
      </c>
      <c r="G509">
        <v>265</v>
      </c>
      <c r="H509" t="s">
        <v>12</v>
      </c>
      <c r="I509" t="s">
        <v>28</v>
      </c>
    </row>
    <row r="510" spans="1:9" x14ac:dyDescent="0.35">
      <c r="A510" t="s">
        <v>630</v>
      </c>
      <c r="B510" t="s">
        <v>130</v>
      </c>
      <c r="C510" t="s">
        <v>31</v>
      </c>
      <c r="D510" s="1">
        <v>44941</v>
      </c>
      <c r="E510">
        <v>266</v>
      </c>
      <c r="F510">
        <v>8</v>
      </c>
      <c r="G510">
        <v>258</v>
      </c>
      <c r="H510" t="s">
        <v>12</v>
      </c>
      <c r="I510" t="s">
        <v>24</v>
      </c>
    </row>
    <row r="511" spans="1:9" x14ac:dyDescent="0.35">
      <c r="A511" t="s">
        <v>631</v>
      </c>
      <c r="B511" t="s">
        <v>202</v>
      </c>
      <c r="C511" t="s">
        <v>11</v>
      </c>
      <c r="D511" s="1">
        <v>45180</v>
      </c>
      <c r="E511">
        <v>585</v>
      </c>
      <c r="F511">
        <v>299</v>
      </c>
      <c r="G511">
        <v>286</v>
      </c>
      <c r="H511" t="s">
        <v>12</v>
      </c>
      <c r="I511" t="s">
        <v>32</v>
      </c>
    </row>
    <row r="512" spans="1:9" x14ac:dyDescent="0.35">
      <c r="A512" t="s">
        <v>632</v>
      </c>
      <c r="B512" t="s">
        <v>127</v>
      </c>
      <c r="C512" t="s">
        <v>23</v>
      </c>
      <c r="D512" s="1">
        <v>44933</v>
      </c>
      <c r="E512">
        <v>562</v>
      </c>
      <c r="F512">
        <v>76</v>
      </c>
      <c r="G512">
        <v>486</v>
      </c>
      <c r="H512" t="s">
        <v>12</v>
      </c>
      <c r="I512" t="s">
        <v>20</v>
      </c>
    </row>
    <row r="513" spans="1:9" x14ac:dyDescent="0.35">
      <c r="A513" t="s">
        <v>633</v>
      </c>
      <c r="B513" t="s">
        <v>145</v>
      </c>
      <c r="C513" t="s">
        <v>19</v>
      </c>
      <c r="D513" s="1">
        <v>45240</v>
      </c>
      <c r="E513">
        <v>844</v>
      </c>
      <c r="F513">
        <v>110</v>
      </c>
      <c r="G513">
        <v>734</v>
      </c>
      <c r="H513" t="s">
        <v>12</v>
      </c>
      <c r="I513" t="s">
        <v>45</v>
      </c>
    </row>
    <row r="514" spans="1:9" x14ac:dyDescent="0.35">
      <c r="A514" t="s">
        <v>634</v>
      </c>
      <c r="B514" t="s">
        <v>202</v>
      </c>
      <c r="C514" t="s">
        <v>19</v>
      </c>
      <c r="D514" s="1">
        <v>45031</v>
      </c>
      <c r="E514">
        <v>915</v>
      </c>
      <c r="F514">
        <v>357</v>
      </c>
      <c r="G514">
        <v>558</v>
      </c>
      <c r="H514" t="s">
        <v>12</v>
      </c>
      <c r="I514" t="s">
        <v>32</v>
      </c>
    </row>
    <row r="515" spans="1:9" x14ac:dyDescent="0.35">
      <c r="A515" t="s">
        <v>635</v>
      </c>
      <c r="B515" t="s">
        <v>138</v>
      </c>
      <c r="C515" t="s">
        <v>16</v>
      </c>
      <c r="D515" s="1">
        <v>45060</v>
      </c>
      <c r="E515">
        <v>756</v>
      </c>
      <c r="F515">
        <v>435</v>
      </c>
      <c r="G515">
        <v>321</v>
      </c>
      <c r="H515" t="s">
        <v>12</v>
      </c>
      <c r="I515" t="s">
        <v>24</v>
      </c>
    </row>
    <row r="516" spans="1:9" x14ac:dyDescent="0.35">
      <c r="A516" t="s">
        <v>636</v>
      </c>
      <c r="B516" t="s">
        <v>143</v>
      </c>
      <c r="C516" t="s">
        <v>23</v>
      </c>
      <c r="D516" s="1">
        <v>45232</v>
      </c>
      <c r="E516">
        <v>972</v>
      </c>
      <c r="F516">
        <v>698</v>
      </c>
      <c r="G516">
        <v>274</v>
      </c>
      <c r="H516" t="s">
        <v>12</v>
      </c>
      <c r="I516" t="s">
        <v>28</v>
      </c>
    </row>
    <row r="517" spans="1:9" x14ac:dyDescent="0.35">
      <c r="A517" t="s">
        <v>637</v>
      </c>
      <c r="B517" t="s">
        <v>178</v>
      </c>
      <c r="C517" t="s">
        <v>27</v>
      </c>
      <c r="D517" s="1">
        <v>44943</v>
      </c>
      <c r="E517">
        <v>913</v>
      </c>
      <c r="F517">
        <v>318</v>
      </c>
      <c r="G517">
        <v>595</v>
      </c>
      <c r="H517" t="s">
        <v>12</v>
      </c>
      <c r="I517" t="s">
        <v>13</v>
      </c>
    </row>
    <row r="518" spans="1:9" x14ac:dyDescent="0.35">
      <c r="A518" t="s">
        <v>638</v>
      </c>
      <c r="B518" t="s">
        <v>91</v>
      </c>
      <c r="C518" t="s">
        <v>11</v>
      </c>
      <c r="D518" s="1">
        <v>45249</v>
      </c>
      <c r="E518">
        <v>883</v>
      </c>
      <c r="F518">
        <v>773</v>
      </c>
      <c r="G518">
        <v>110</v>
      </c>
      <c r="H518" t="s">
        <v>12</v>
      </c>
      <c r="I518" t="s">
        <v>32</v>
      </c>
    </row>
    <row r="519" spans="1:9" x14ac:dyDescent="0.35">
      <c r="A519" t="s">
        <v>639</v>
      </c>
      <c r="B519" t="s">
        <v>76</v>
      </c>
      <c r="C519" t="s">
        <v>16</v>
      </c>
      <c r="D519" s="1">
        <v>45326</v>
      </c>
      <c r="E519">
        <v>803</v>
      </c>
      <c r="F519">
        <v>173</v>
      </c>
      <c r="G519">
        <v>630</v>
      </c>
      <c r="H519" t="s">
        <v>12</v>
      </c>
      <c r="I519" t="s">
        <v>28</v>
      </c>
    </row>
    <row r="520" spans="1:9" x14ac:dyDescent="0.35">
      <c r="A520" t="s">
        <v>640</v>
      </c>
      <c r="B520" t="s">
        <v>138</v>
      </c>
      <c r="C520" t="s">
        <v>27</v>
      </c>
      <c r="D520" s="1">
        <v>45396</v>
      </c>
      <c r="E520">
        <v>175</v>
      </c>
      <c r="F520">
        <v>11</v>
      </c>
      <c r="G520">
        <v>164</v>
      </c>
      <c r="H520" t="s">
        <v>12</v>
      </c>
      <c r="I520" t="s">
        <v>32</v>
      </c>
    </row>
    <row r="521" spans="1:9" x14ac:dyDescent="0.35">
      <c r="A521" t="s">
        <v>641</v>
      </c>
      <c r="B521" t="s">
        <v>469</v>
      </c>
      <c r="C521" t="s">
        <v>11</v>
      </c>
      <c r="D521" s="1">
        <v>45319</v>
      </c>
      <c r="E521">
        <v>846</v>
      </c>
      <c r="F521">
        <v>331</v>
      </c>
      <c r="G521">
        <v>515</v>
      </c>
      <c r="H521" t="s">
        <v>12</v>
      </c>
      <c r="I521" t="s">
        <v>24</v>
      </c>
    </row>
    <row r="522" spans="1:9" x14ac:dyDescent="0.35">
      <c r="A522" t="s">
        <v>642</v>
      </c>
      <c r="B522" t="s">
        <v>15</v>
      </c>
      <c r="C522" t="s">
        <v>11</v>
      </c>
      <c r="D522" s="1">
        <v>45354</v>
      </c>
      <c r="E522">
        <v>366</v>
      </c>
      <c r="F522">
        <v>97</v>
      </c>
      <c r="G522">
        <v>269</v>
      </c>
      <c r="H522" t="s">
        <v>12</v>
      </c>
      <c r="I522" t="s">
        <v>24</v>
      </c>
    </row>
    <row r="523" spans="1:9" x14ac:dyDescent="0.35">
      <c r="A523" t="s">
        <v>643</v>
      </c>
      <c r="B523" t="s">
        <v>478</v>
      </c>
      <c r="C523" t="s">
        <v>11</v>
      </c>
      <c r="D523" s="1">
        <v>45162</v>
      </c>
      <c r="E523">
        <v>769</v>
      </c>
      <c r="F523">
        <v>476</v>
      </c>
      <c r="G523">
        <v>293</v>
      </c>
      <c r="H523" t="s">
        <v>12</v>
      </c>
      <c r="I523" t="s">
        <v>45</v>
      </c>
    </row>
    <row r="524" spans="1:9" x14ac:dyDescent="0.35">
      <c r="A524" t="s">
        <v>644</v>
      </c>
      <c r="B524" t="s">
        <v>478</v>
      </c>
      <c r="C524" t="s">
        <v>27</v>
      </c>
      <c r="D524" s="1">
        <v>45488</v>
      </c>
      <c r="E524">
        <v>857</v>
      </c>
      <c r="F524">
        <v>786</v>
      </c>
      <c r="G524">
        <v>71</v>
      </c>
      <c r="H524" t="s">
        <v>12</v>
      </c>
      <c r="I524" t="s">
        <v>20</v>
      </c>
    </row>
    <row r="525" spans="1:9" x14ac:dyDescent="0.35">
      <c r="A525" t="s">
        <v>645</v>
      </c>
      <c r="B525" t="s">
        <v>109</v>
      </c>
      <c r="C525" t="s">
        <v>19</v>
      </c>
      <c r="D525" s="1">
        <v>44964</v>
      </c>
      <c r="E525">
        <v>200</v>
      </c>
      <c r="F525">
        <v>102</v>
      </c>
      <c r="G525">
        <v>98</v>
      </c>
      <c r="H525" t="s">
        <v>12</v>
      </c>
      <c r="I525" t="s">
        <v>13</v>
      </c>
    </row>
    <row r="526" spans="1:9" x14ac:dyDescent="0.35">
      <c r="A526" t="s">
        <v>646</v>
      </c>
      <c r="B526" t="s">
        <v>175</v>
      </c>
      <c r="C526" t="s">
        <v>23</v>
      </c>
      <c r="D526" s="1">
        <v>45395</v>
      </c>
      <c r="E526">
        <v>733</v>
      </c>
      <c r="F526">
        <v>282</v>
      </c>
      <c r="G526">
        <v>451</v>
      </c>
      <c r="H526" t="s">
        <v>12</v>
      </c>
      <c r="I526" t="s">
        <v>20</v>
      </c>
    </row>
    <row r="527" spans="1:9" x14ac:dyDescent="0.35">
      <c r="A527" t="s">
        <v>647</v>
      </c>
      <c r="B527" t="s">
        <v>59</v>
      </c>
      <c r="C527" t="s">
        <v>16</v>
      </c>
      <c r="D527" s="1">
        <v>45504</v>
      </c>
      <c r="E527">
        <v>166</v>
      </c>
      <c r="F527">
        <v>129</v>
      </c>
      <c r="G527">
        <v>37</v>
      </c>
      <c r="H527" t="s">
        <v>12</v>
      </c>
      <c r="I527" t="s">
        <v>45</v>
      </c>
    </row>
    <row r="528" spans="1:9" x14ac:dyDescent="0.35">
      <c r="A528" t="s">
        <v>648</v>
      </c>
      <c r="B528" t="s">
        <v>132</v>
      </c>
      <c r="C528" t="s">
        <v>31</v>
      </c>
      <c r="D528" s="1">
        <v>45270</v>
      </c>
      <c r="E528">
        <v>853</v>
      </c>
      <c r="F528">
        <v>587</v>
      </c>
      <c r="G528">
        <v>266</v>
      </c>
      <c r="H528" t="s">
        <v>12</v>
      </c>
      <c r="I528" t="s">
        <v>24</v>
      </c>
    </row>
    <row r="529" spans="1:9" x14ac:dyDescent="0.35">
      <c r="A529" t="s">
        <v>649</v>
      </c>
      <c r="B529" t="s">
        <v>36</v>
      </c>
      <c r="C529" t="s">
        <v>31</v>
      </c>
      <c r="D529" s="1">
        <v>44943</v>
      </c>
      <c r="E529">
        <v>520</v>
      </c>
      <c r="F529">
        <v>253</v>
      </c>
      <c r="G529">
        <v>267</v>
      </c>
      <c r="H529" t="s">
        <v>12</v>
      </c>
      <c r="I529" t="s">
        <v>24</v>
      </c>
    </row>
    <row r="530" spans="1:9" x14ac:dyDescent="0.35">
      <c r="A530" t="s">
        <v>650</v>
      </c>
      <c r="B530" t="s">
        <v>78</v>
      </c>
      <c r="C530" t="s">
        <v>11</v>
      </c>
      <c r="D530" s="1">
        <v>45345</v>
      </c>
      <c r="E530">
        <v>138</v>
      </c>
      <c r="F530">
        <v>109</v>
      </c>
      <c r="G530">
        <v>29</v>
      </c>
      <c r="H530" t="s">
        <v>12</v>
      </c>
      <c r="I530" t="s">
        <v>24</v>
      </c>
    </row>
    <row r="531" spans="1:9" x14ac:dyDescent="0.35">
      <c r="A531" t="s">
        <v>651</v>
      </c>
      <c r="B531" t="s">
        <v>30</v>
      </c>
      <c r="C531" t="s">
        <v>16</v>
      </c>
      <c r="D531" s="1">
        <v>45441</v>
      </c>
      <c r="E531">
        <v>785</v>
      </c>
      <c r="F531">
        <v>257</v>
      </c>
      <c r="G531">
        <v>528</v>
      </c>
      <c r="H531" t="s">
        <v>12</v>
      </c>
      <c r="I531" t="s">
        <v>32</v>
      </c>
    </row>
    <row r="532" spans="1:9" x14ac:dyDescent="0.35">
      <c r="A532" t="s">
        <v>652</v>
      </c>
      <c r="B532" t="s">
        <v>147</v>
      </c>
      <c r="C532" t="s">
        <v>27</v>
      </c>
      <c r="D532" s="1">
        <v>45184</v>
      </c>
      <c r="E532">
        <v>757</v>
      </c>
      <c r="F532">
        <v>543</v>
      </c>
      <c r="G532">
        <v>214</v>
      </c>
      <c r="H532" t="s">
        <v>12</v>
      </c>
      <c r="I532" t="s">
        <v>24</v>
      </c>
    </row>
    <row r="533" spans="1:9" x14ac:dyDescent="0.35">
      <c r="A533" t="s">
        <v>653</v>
      </c>
      <c r="B533" t="s">
        <v>56</v>
      </c>
      <c r="C533" t="s">
        <v>11</v>
      </c>
      <c r="D533" s="1">
        <v>45513</v>
      </c>
      <c r="E533">
        <v>750</v>
      </c>
      <c r="F533">
        <v>593</v>
      </c>
      <c r="G533">
        <v>157</v>
      </c>
      <c r="H533" t="s">
        <v>12</v>
      </c>
      <c r="I533" t="s">
        <v>32</v>
      </c>
    </row>
    <row r="534" spans="1:9" x14ac:dyDescent="0.35">
      <c r="A534" t="s">
        <v>654</v>
      </c>
      <c r="B534" t="s">
        <v>89</v>
      </c>
      <c r="C534" t="s">
        <v>31</v>
      </c>
      <c r="D534" s="1">
        <v>45202</v>
      </c>
      <c r="E534">
        <v>255</v>
      </c>
      <c r="F534">
        <v>93</v>
      </c>
      <c r="G534">
        <v>162</v>
      </c>
      <c r="H534" t="s">
        <v>12</v>
      </c>
      <c r="I534" t="s">
        <v>28</v>
      </c>
    </row>
    <row r="535" spans="1:9" x14ac:dyDescent="0.35">
      <c r="A535" t="s">
        <v>655</v>
      </c>
      <c r="B535" t="s">
        <v>469</v>
      </c>
      <c r="C535" t="s">
        <v>31</v>
      </c>
      <c r="D535" s="1">
        <v>44996</v>
      </c>
      <c r="E535">
        <v>368</v>
      </c>
      <c r="F535">
        <v>213</v>
      </c>
      <c r="G535">
        <v>155</v>
      </c>
      <c r="H535" t="s">
        <v>12</v>
      </c>
      <c r="I535" t="s">
        <v>45</v>
      </c>
    </row>
    <row r="536" spans="1:9" x14ac:dyDescent="0.35">
      <c r="A536" t="s">
        <v>656</v>
      </c>
      <c r="B536" t="s">
        <v>175</v>
      </c>
      <c r="C536" t="s">
        <v>31</v>
      </c>
      <c r="D536" s="1">
        <v>45416</v>
      </c>
      <c r="E536">
        <v>102</v>
      </c>
      <c r="F536">
        <v>22</v>
      </c>
      <c r="G536">
        <v>80</v>
      </c>
      <c r="H536" t="s">
        <v>12</v>
      </c>
      <c r="I536" t="s">
        <v>32</v>
      </c>
    </row>
    <row r="537" spans="1:9" x14ac:dyDescent="0.35">
      <c r="A537" t="s">
        <v>657</v>
      </c>
      <c r="B537" t="s">
        <v>288</v>
      </c>
      <c r="C537" t="s">
        <v>27</v>
      </c>
      <c r="D537" s="1">
        <v>45518</v>
      </c>
      <c r="E537">
        <v>919</v>
      </c>
      <c r="F537">
        <v>116</v>
      </c>
      <c r="G537">
        <v>803</v>
      </c>
      <c r="H537" t="s">
        <v>12</v>
      </c>
      <c r="I537" t="s">
        <v>32</v>
      </c>
    </row>
    <row r="538" spans="1:9" x14ac:dyDescent="0.35">
      <c r="A538" t="s">
        <v>658</v>
      </c>
      <c r="B538" t="s">
        <v>93</v>
      </c>
      <c r="C538" t="s">
        <v>16</v>
      </c>
      <c r="D538" s="1">
        <v>44985</v>
      </c>
      <c r="E538">
        <v>334</v>
      </c>
      <c r="F538">
        <v>248</v>
      </c>
      <c r="G538">
        <v>86</v>
      </c>
      <c r="H538" t="s">
        <v>12</v>
      </c>
      <c r="I538" t="s">
        <v>24</v>
      </c>
    </row>
    <row r="539" spans="1:9" x14ac:dyDescent="0.35">
      <c r="A539" t="s">
        <v>659</v>
      </c>
      <c r="B539" t="s">
        <v>192</v>
      </c>
      <c r="C539" t="s">
        <v>11</v>
      </c>
      <c r="D539" s="1">
        <v>44981</v>
      </c>
      <c r="E539">
        <v>393</v>
      </c>
      <c r="F539">
        <v>330</v>
      </c>
      <c r="G539">
        <v>63</v>
      </c>
      <c r="H539" t="s">
        <v>12</v>
      </c>
      <c r="I539" t="s">
        <v>45</v>
      </c>
    </row>
    <row r="540" spans="1:9" x14ac:dyDescent="0.35">
      <c r="A540" t="s">
        <v>660</v>
      </c>
      <c r="B540" t="s">
        <v>288</v>
      </c>
      <c r="C540" t="s">
        <v>23</v>
      </c>
      <c r="D540" s="1">
        <v>45082</v>
      </c>
      <c r="E540">
        <v>208</v>
      </c>
      <c r="F540">
        <v>203</v>
      </c>
      <c r="G540">
        <v>5</v>
      </c>
      <c r="H540" t="s">
        <v>12</v>
      </c>
      <c r="I540" t="s">
        <v>13</v>
      </c>
    </row>
    <row r="541" spans="1:9" x14ac:dyDescent="0.35">
      <c r="A541" t="s">
        <v>661</v>
      </c>
      <c r="B541" t="s">
        <v>44</v>
      </c>
      <c r="C541" t="s">
        <v>31</v>
      </c>
      <c r="D541" s="1">
        <v>45008</v>
      </c>
      <c r="E541">
        <v>359</v>
      </c>
      <c r="F541">
        <v>164</v>
      </c>
      <c r="G541">
        <v>195</v>
      </c>
      <c r="H541" t="s">
        <v>12</v>
      </c>
      <c r="I541" t="s">
        <v>32</v>
      </c>
    </row>
    <row r="542" spans="1:9" x14ac:dyDescent="0.35">
      <c r="A542" t="s">
        <v>662</v>
      </c>
      <c r="B542" t="s">
        <v>206</v>
      </c>
      <c r="C542" t="s">
        <v>23</v>
      </c>
      <c r="D542" s="1">
        <v>44957</v>
      </c>
      <c r="E542">
        <v>831</v>
      </c>
      <c r="F542">
        <v>197</v>
      </c>
      <c r="G542">
        <v>634</v>
      </c>
      <c r="H542" t="s">
        <v>12</v>
      </c>
      <c r="I542" t="s">
        <v>13</v>
      </c>
    </row>
    <row r="543" spans="1:9" x14ac:dyDescent="0.35">
      <c r="A543" t="s">
        <v>663</v>
      </c>
      <c r="B543" t="s">
        <v>140</v>
      </c>
      <c r="C543" t="s">
        <v>23</v>
      </c>
      <c r="D543" s="1">
        <v>45262</v>
      </c>
      <c r="E543">
        <v>182</v>
      </c>
      <c r="F543">
        <v>111</v>
      </c>
      <c r="G543">
        <v>71</v>
      </c>
      <c r="H543" t="s">
        <v>12</v>
      </c>
      <c r="I543" t="s">
        <v>13</v>
      </c>
    </row>
    <row r="544" spans="1:9" x14ac:dyDescent="0.35">
      <c r="A544" t="s">
        <v>664</v>
      </c>
      <c r="B544" t="s">
        <v>91</v>
      </c>
      <c r="C544" t="s">
        <v>19</v>
      </c>
      <c r="D544" s="1">
        <v>45438</v>
      </c>
      <c r="E544">
        <v>263</v>
      </c>
      <c r="F544">
        <v>161</v>
      </c>
      <c r="G544">
        <v>102</v>
      </c>
      <c r="H544" t="s">
        <v>12</v>
      </c>
      <c r="I544" t="s">
        <v>32</v>
      </c>
    </row>
    <row r="545" spans="1:9" x14ac:dyDescent="0.35">
      <c r="A545" t="s">
        <v>665</v>
      </c>
      <c r="B545" t="s">
        <v>189</v>
      </c>
      <c r="C545" t="s">
        <v>19</v>
      </c>
      <c r="D545" s="1">
        <v>45002</v>
      </c>
      <c r="E545">
        <v>130</v>
      </c>
      <c r="F545">
        <v>41</v>
      </c>
      <c r="G545">
        <v>89</v>
      </c>
      <c r="H545" t="s">
        <v>12</v>
      </c>
      <c r="I545" t="s">
        <v>13</v>
      </c>
    </row>
    <row r="546" spans="1:9" x14ac:dyDescent="0.35">
      <c r="A546" t="s">
        <v>666</v>
      </c>
      <c r="B546" t="s">
        <v>125</v>
      </c>
      <c r="C546" t="s">
        <v>19</v>
      </c>
      <c r="D546" s="1">
        <v>45522</v>
      </c>
      <c r="E546">
        <v>900</v>
      </c>
      <c r="F546">
        <v>51</v>
      </c>
      <c r="G546">
        <v>849</v>
      </c>
      <c r="H546" t="s">
        <v>12</v>
      </c>
      <c r="I546" t="s">
        <v>24</v>
      </c>
    </row>
    <row r="547" spans="1:9" x14ac:dyDescent="0.35">
      <c r="A547" t="s">
        <v>667</v>
      </c>
      <c r="B547" t="s">
        <v>238</v>
      </c>
      <c r="C547" t="s">
        <v>23</v>
      </c>
      <c r="D547" s="1">
        <v>45291</v>
      </c>
      <c r="E547">
        <v>318</v>
      </c>
      <c r="F547">
        <v>151</v>
      </c>
      <c r="G547">
        <v>167</v>
      </c>
      <c r="H547" t="s">
        <v>12</v>
      </c>
      <c r="I547" t="s">
        <v>24</v>
      </c>
    </row>
    <row r="548" spans="1:9" x14ac:dyDescent="0.35">
      <c r="A548" t="s">
        <v>668</v>
      </c>
      <c r="B548" t="s">
        <v>115</v>
      </c>
      <c r="C548" t="s">
        <v>16</v>
      </c>
      <c r="D548" s="1">
        <v>44973</v>
      </c>
      <c r="E548">
        <v>160</v>
      </c>
      <c r="F548">
        <v>82</v>
      </c>
      <c r="G548">
        <v>78</v>
      </c>
      <c r="H548" t="s">
        <v>12</v>
      </c>
      <c r="I548" t="s">
        <v>24</v>
      </c>
    </row>
    <row r="549" spans="1:9" x14ac:dyDescent="0.35">
      <c r="A549" t="s">
        <v>669</v>
      </c>
      <c r="B549" t="s">
        <v>140</v>
      </c>
      <c r="C549" t="s">
        <v>11</v>
      </c>
      <c r="D549" s="1">
        <v>45077</v>
      </c>
      <c r="E549">
        <v>451</v>
      </c>
      <c r="F549">
        <v>369</v>
      </c>
      <c r="G549">
        <v>82</v>
      </c>
      <c r="H549" t="s">
        <v>12</v>
      </c>
      <c r="I549" t="s">
        <v>45</v>
      </c>
    </row>
    <row r="550" spans="1:9" x14ac:dyDescent="0.35">
      <c r="A550" t="s">
        <v>670</v>
      </c>
      <c r="B550" t="s">
        <v>22</v>
      </c>
      <c r="C550" t="s">
        <v>27</v>
      </c>
      <c r="D550" s="1">
        <v>45453</v>
      </c>
      <c r="E550">
        <v>192</v>
      </c>
      <c r="F550">
        <v>126</v>
      </c>
      <c r="G550">
        <v>66</v>
      </c>
      <c r="H550" t="s">
        <v>12</v>
      </c>
      <c r="I550" t="s">
        <v>20</v>
      </c>
    </row>
    <row r="551" spans="1:9" x14ac:dyDescent="0.35">
      <c r="A551" t="s">
        <v>671</v>
      </c>
      <c r="B551" t="s">
        <v>269</v>
      </c>
      <c r="C551" t="s">
        <v>11</v>
      </c>
      <c r="D551" s="1">
        <v>45201</v>
      </c>
      <c r="E551">
        <v>895</v>
      </c>
      <c r="F551">
        <v>552</v>
      </c>
      <c r="G551">
        <v>343</v>
      </c>
      <c r="H551" t="s">
        <v>12</v>
      </c>
      <c r="I551" t="s">
        <v>24</v>
      </c>
    </row>
    <row r="552" spans="1:9" x14ac:dyDescent="0.35">
      <c r="A552" t="s">
        <v>672</v>
      </c>
      <c r="B552" t="s">
        <v>259</v>
      </c>
      <c r="C552" t="s">
        <v>31</v>
      </c>
      <c r="D552" s="1">
        <v>44959</v>
      </c>
      <c r="E552">
        <v>196</v>
      </c>
      <c r="F552">
        <v>54</v>
      </c>
      <c r="G552">
        <v>142</v>
      </c>
      <c r="H552" t="s">
        <v>12</v>
      </c>
      <c r="I552" t="s">
        <v>24</v>
      </c>
    </row>
    <row r="553" spans="1:9" x14ac:dyDescent="0.35">
      <c r="A553" t="s">
        <v>673</v>
      </c>
      <c r="B553" t="s">
        <v>195</v>
      </c>
      <c r="C553" t="s">
        <v>27</v>
      </c>
      <c r="D553" s="1">
        <v>44946</v>
      </c>
      <c r="E553">
        <v>126</v>
      </c>
      <c r="F553">
        <v>100</v>
      </c>
      <c r="G553">
        <v>26</v>
      </c>
      <c r="H553" t="s">
        <v>12</v>
      </c>
      <c r="I553" t="s">
        <v>28</v>
      </c>
    </row>
    <row r="554" spans="1:9" x14ac:dyDescent="0.35">
      <c r="A554" t="s">
        <v>674</v>
      </c>
      <c r="B554" t="s">
        <v>80</v>
      </c>
      <c r="C554" t="s">
        <v>19</v>
      </c>
      <c r="D554" s="1">
        <v>45270</v>
      </c>
      <c r="E554">
        <v>153</v>
      </c>
      <c r="F554">
        <v>149</v>
      </c>
      <c r="G554">
        <v>4</v>
      </c>
      <c r="H554" t="s">
        <v>12</v>
      </c>
      <c r="I554" t="s">
        <v>13</v>
      </c>
    </row>
    <row r="555" spans="1:9" x14ac:dyDescent="0.35">
      <c r="A555" t="s">
        <v>675</v>
      </c>
      <c r="B555" t="s">
        <v>214</v>
      </c>
      <c r="C555" t="s">
        <v>27</v>
      </c>
      <c r="D555" s="1">
        <v>45037</v>
      </c>
      <c r="E555">
        <v>951</v>
      </c>
      <c r="F555">
        <v>733</v>
      </c>
      <c r="G555">
        <v>218</v>
      </c>
      <c r="H555" t="s">
        <v>12</v>
      </c>
      <c r="I555" t="s">
        <v>24</v>
      </c>
    </row>
    <row r="556" spans="1:9" x14ac:dyDescent="0.35">
      <c r="A556" t="s">
        <v>676</v>
      </c>
      <c r="B556" t="s">
        <v>221</v>
      </c>
      <c r="C556" t="s">
        <v>31</v>
      </c>
      <c r="D556" s="1">
        <v>45350</v>
      </c>
      <c r="E556">
        <v>435</v>
      </c>
      <c r="F556">
        <v>261</v>
      </c>
      <c r="G556">
        <v>174</v>
      </c>
      <c r="H556" t="s">
        <v>12</v>
      </c>
      <c r="I556" t="s">
        <v>45</v>
      </c>
    </row>
    <row r="557" spans="1:9" x14ac:dyDescent="0.35">
      <c r="A557" t="s">
        <v>677</v>
      </c>
      <c r="B557" t="s">
        <v>56</v>
      </c>
      <c r="C557" t="s">
        <v>11</v>
      </c>
      <c r="D557" s="1">
        <v>45459</v>
      </c>
      <c r="E557">
        <v>374</v>
      </c>
      <c r="F557">
        <v>329</v>
      </c>
      <c r="G557">
        <v>45</v>
      </c>
      <c r="H557" t="s">
        <v>12</v>
      </c>
      <c r="I557" t="s">
        <v>28</v>
      </c>
    </row>
    <row r="558" spans="1:9" x14ac:dyDescent="0.35">
      <c r="A558" t="s">
        <v>678</v>
      </c>
      <c r="B558" t="s">
        <v>40</v>
      </c>
      <c r="C558" t="s">
        <v>19</v>
      </c>
      <c r="D558" s="1">
        <v>45229</v>
      </c>
      <c r="E558">
        <v>475</v>
      </c>
      <c r="F558">
        <v>435</v>
      </c>
      <c r="G558">
        <v>40</v>
      </c>
      <c r="H558" t="s">
        <v>12</v>
      </c>
      <c r="I558" t="s">
        <v>20</v>
      </c>
    </row>
    <row r="559" spans="1:9" x14ac:dyDescent="0.35">
      <c r="A559" t="s">
        <v>679</v>
      </c>
      <c r="B559" t="s">
        <v>178</v>
      </c>
      <c r="C559" t="s">
        <v>16</v>
      </c>
      <c r="D559" s="1">
        <v>45027</v>
      </c>
      <c r="E559">
        <v>968</v>
      </c>
      <c r="F559">
        <v>145</v>
      </c>
      <c r="G559">
        <v>823</v>
      </c>
      <c r="H559" t="s">
        <v>12</v>
      </c>
      <c r="I559" t="s">
        <v>24</v>
      </c>
    </row>
    <row r="560" spans="1:9" x14ac:dyDescent="0.35">
      <c r="A560" t="s">
        <v>680</v>
      </c>
      <c r="B560" t="s">
        <v>70</v>
      </c>
      <c r="C560" t="s">
        <v>31</v>
      </c>
      <c r="D560" s="1">
        <v>45127</v>
      </c>
      <c r="E560">
        <v>960</v>
      </c>
      <c r="F560">
        <v>364</v>
      </c>
      <c r="G560">
        <v>596</v>
      </c>
      <c r="H560" t="s">
        <v>12</v>
      </c>
      <c r="I560" t="s">
        <v>45</v>
      </c>
    </row>
    <row r="561" spans="1:9" x14ac:dyDescent="0.35">
      <c r="A561" t="s">
        <v>681</v>
      </c>
      <c r="B561" t="s">
        <v>106</v>
      </c>
      <c r="C561" t="s">
        <v>16</v>
      </c>
      <c r="D561" s="1">
        <v>45128</v>
      </c>
      <c r="E561">
        <v>937</v>
      </c>
      <c r="F561">
        <v>386</v>
      </c>
      <c r="G561">
        <v>551</v>
      </c>
      <c r="H561" t="s">
        <v>12</v>
      </c>
      <c r="I561" t="s">
        <v>32</v>
      </c>
    </row>
    <row r="562" spans="1:9" x14ac:dyDescent="0.35">
      <c r="A562" t="s">
        <v>682</v>
      </c>
      <c r="B562" t="s">
        <v>424</v>
      </c>
      <c r="C562" t="s">
        <v>23</v>
      </c>
      <c r="D562" s="1">
        <v>45108</v>
      </c>
      <c r="E562">
        <v>649</v>
      </c>
      <c r="F562">
        <v>116</v>
      </c>
      <c r="G562">
        <v>533</v>
      </c>
      <c r="H562" t="s">
        <v>12</v>
      </c>
      <c r="I562" t="s">
        <v>32</v>
      </c>
    </row>
    <row r="563" spans="1:9" x14ac:dyDescent="0.35">
      <c r="A563" t="s">
        <v>683</v>
      </c>
      <c r="B563" t="s">
        <v>138</v>
      </c>
      <c r="C563" t="s">
        <v>27</v>
      </c>
      <c r="D563" s="1">
        <v>45274</v>
      </c>
      <c r="E563">
        <v>844</v>
      </c>
      <c r="F563">
        <v>764</v>
      </c>
      <c r="G563">
        <v>80</v>
      </c>
      <c r="H563" t="s">
        <v>12</v>
      </c>
      <c r="I563" t="s">
        <v>28</v>
      </c>
    </row>
    <row r="564" spans="1:9" x14ac:dyDescent="0.35">
      <c r="A564" t="s">
        <v>684</v>
      </c>
      <c r="B564" t="s">
        <v>83</v>
      </c>
      <c r="C564" t="s">
        <v>27</v>
      </c>
      <c r="D564" s="1">
        <v>45407</v>
      </c>
      <c r="E564">
        <v>925</v>
      </c>
      <c r="F564">
        <v>662</v>
      </c>
      <c r="G564">
        <v>263</v>
      </c>
      <c r="H564" t="s">
        <v>12</v>
      </c>
      <c r="I564" t="s">
        <v>32</v>
      </c>
    </row>
    <row r="565" spans="1:9" x14ac:dyDescent="0.35">
      <c r="A565" t="s">
        <v>685</v>
      </c>
      <c r="B565" t="s">
        <v>155</v>
      </c>
      <c r="C565" t="s">
        <v>27</v>
      </c>
      <c r="D565" s="1">
        <v>45056</v>
      </c>
      <c r="E565">
        <v>967</v>
      </c>
      <c r="F565">
        <v>741</v>
      </c>
      <c r="G565">
        <v>226</v>
      </c>
      <c r="H565" t="s">
        <v>12</v>
      </c>
      <c r="I565" t="s">
        <v>28</v>
      </c>
    </row>
    <row r="566" spans="1:9" x14ac:dyDescent="0.35">
      <c r="A566" t="s">
        <v>686</v>
      </c>
      <c r="B566" t="s">
        <v>136</v>
      </c>
      <c r="C566" t="s">
        <v>16</v>
      </c>
      <c r="D566" s="1">
        <v>45055</v>
      </c>
      <c r="E566">
        <v>520</v>
      </c>
      <c r="F566">
        <v>279</v>
      </c>
      <c r="G566">
        <v>241</v>
      </c>
      <c r="H566" t="s">
        <v>12</v>
      </c>
      <c r="I566" t="s">
        <v>45</v>
      </c>
    </row>
    <row r="567" spans="1:9" x14ac:dyDescent="0.35">
      <c r="A567" t="s">
        <v>687</v>
      </c>
      <c r="B567" t="s">
        <v>259</v>
      </c>
      <c r="C567" t="s">
        <v>31</v>
      </c>
      <c r="D567" s="1">
        <v>45527</v>
      </c>
      <c r="E567">
        <v>719</v>
      </c>
      <c r="F567">
        <v>448</v>
      </c>
      <c r="G567">
        <v>271</v>
      </c>
      <c r="H567" t="s">
        <v>12</v>
      </c>
      <c r="I567" t="s">
        <v>24</v>
      </c>
    </row>
    <row r="568" spans="1:9" x14ac:dyDescent="0.35">
      <c r="A568" t="s">
        <v>688</v>
      </c>
      <c r="B568" t="s">
        <v>118</v>
      </c>
      <c r="C568" t="s">
        <v>19</v>
      </c>
      <c r="D568" s="1">
        <v>45413</v>
      </c>
      <c r="E568">
        <v>935</v>
      </c>
      <c r="F568">
        <v>559</v>
      </c>
      <c r="G568">
        <v>376</v>
      </c>
      <c r="H568" t="s">
        <v>12</v>
      </c>
      <c r="I568" t="s">
        <v>45</v>
      </c>
    </row>
    <row r="569" spans="1:9" x14ac:dyDescent="0.35">
      <c r="A569" t="s">
        <v>689</v>
      </c>
      <c r="B569" t="s">
        <v>186</v>
      </c>
      <c r="C569" t="s">
        <v>23</v>
      </c>
      <c r="D569" s="1">
        <v>45246</v>
      </c>
      <c r="E569">
        <v>844</v>
      </c>
      <c r="F569">
        <v>647</v>
      </c>
      <c r="G569">
        <v>197</v>
      </c>
      <c r="H569" t="s">
        <v>12</v>
      </c>
      <c r="I569" t="s">
        <v>20</v>
      </c>
    </row>
    <row r="570" spans="1:9" x14ac:dyDescent="0.35">
      <c r="A570" t="s">
        <v>690</v>
      </c>
      <c r="B570" t="s">
        <v>83</v>
      </c>
      <c r="C570" t="s">
        <v>19</v>
      </c>
      <c r="D570" s="1">
        <v>44979</v>
      </c>
      <c r="E570">
        <v>633</v>
      </c>
      <c r="F570">
        <v>123</v>
      </c>
      <c r="G570">
        <v>510</v>
      </c>
      <c r="H570" t="s">
        <v>12</v>
      </c>
      <c r="I570" t="s">
        <v>13</v>
      </c>
    </row>
    <row r="571" spans="1:9" x14ac:dyDescent="0.35">
      <c r="A571" t="s">
        <v>691</v>
      </c>
      <c r="B571" t="s">
        <v>145</v>
      </c>
      <c r="C571" t="s">
        <v>23</v>
      </c>
      <c r="D571" s="1">
        <v>44947</v>
      </c>
      <c r="E571">
        <v>174</v>
      </c>
      <c r="F571">
        <v>57</v>
      </c>
      <c r="G571">
        <v>117</v>
      </c>
      <c r="H571" t="s">
        <v>12</v>
      </c>
      <c r="I571" t="s">
        <v>28</v>
      </c>
    </row>
    <row r="572" spans="1:9" x14ac:dyDescent="0.35">
      <c r="A572" t="s">
        <v>692</v>
      </c>
      <c r="B572" t="s">
        <v>93</v>
      </c>
      <c r="C572" t="s">
        <v>23</v>
      </c>
      <c r="D572" s="1">
        <v>45519</v>
      </c>
      <c r="E572">
        <v>584</v>
      </c>
      <c r="F572">
        <v>293</v>
      </c>
      <c r="G572">
        <v>291</v>
      </c>
      <c r="H572" t="s">
        <v>12</v>
      </c>
      <c r="I572" t="s">
        <v>20</v>
      </c>
    </row>
    <row r="573" spans="1:9" x14ac:dyDescent="0.35">
      <c r="A573" t="s">
        <v>693</v>
      </c>
      <c r="B573" t="s">
        <v>38</v>
      </c>
      <c r="C573" t="s">
        <v>23</v>
      </c>
      <c r="D573" s="1">
        <v>45263</v>
      </c>
      <c r="E573">
        <v>516</v>
      </c>
      <c r="F573">
        <v>33</v>
      </c>
      <c r="G573">
        <v>483</v>
      </c>
      <c r="H573" t="s">
        <v>12</v>
      </c>
      <c r="I573" t="s">
        <v>20</v>
      </c>
    </row>
    <row r="574" spans="1:9" x14ac:dyDescent="0.35">
      <c r="A574" t="s">
        <v>694</v>
      </c>
      <c r="B574" t="s">
        <v>103</v>
      </c>
      <c r="C574" t="s">
        <v>19</v>
      </c>
      <c r="D574" s="1">
        <v>45118</v>
      </c>
      <c r="E574">
        <v>983</v>
      </c>
      <c r="F574">
        <v>773</v>
      </c>
      <c r="G574">
        <v>210</v>
      </c>
      <c r="H574" t="s">
        <v>12</v>
      </c>
      <c r="I574" t="s">
        <v>24</v>
      </c>
    </row>
    <row r="575" spans="1:9" x14ac:dyDescent="0.35">
      <c r="A575" t="s">
        <v>695</v>
      </c>
      <c r="B575" t="s">
        <v>404</v>
      </c>
      <c r="C575" t="s">
        <v>16</v>
      </c>
      <c r="D575" s="1">
        <v>45158</v>
      </c>
      <c r="E575">
        <v>700</v>
      </c>
      <c r="F575">
        <v>389</v>
      </c>
      <c r="G575">
        <v>311</v>
      </c>
      <c r="H575" t="s">
        <v>12</v>
      </c>
      <c r="I575" t="s">
        <v>45</v>
      </c>
    </row>
    <row r="576" spans="1:9" x14ac:dyDescent="0.35">
      <c r="A576" t="s">
        <v>696</v>
      </c>
      <c r="B576" t="s">
        <v>70</v>
      </c>
      <c r="C576" t="s">
        <v>11</v>
      </c>
      <c r="D576" s="1">
        <v>45384</v>
      </c>
      <c r="E576">
        <v>909</v>
      </c>
      <c r="F576">
        <v>266</v>
      </c>
      <c r="G576">
        <v>643</v>
      </c>
      <c r="H576" t="s">
        <v>12</v>
      </c>
      <c r="I576" t="s">
        <v>28</v>
      </c>
    </row>
    <row r="577" spans="1:9" x14ac:dyDescent="0.35">
      <c r="A577" t="s">
        <v>697</v>
      </c>
      <c r="B577" t="s">
        <v>384</v>
      </c>
      <c r="C577" t="s">
        <v>19</v>
      </c>
      <c r="D577" s="1">
        <v>45329</v>
      </c>
      <c r="E577">
        <v>814</v>
      </c>
      <c r="F577">
        <v>723</v>
      </c>
      <c r="G577">
        <v>91</v>
      </c>
      <c r="H577" t="s">
        <v>12</v>
      </c>
      <c r="I577" t="s">
        <v>28</v>
      </c>
    </row>
    <row r="578" spans="1:9" x14ac:dyDescent="0.35">
      <c r="A578" t="s">
        <v>698</v>
      </c>
      <c r="B578" t="s">
        <v>106</v>
      </c>
      <c r="C578" t="s">
        <v>31</v>
      </c>
      <c r="D578" s="1">
        <v>45354</v>
      </c>
      <c r="E578">
        <v>164</v>
      </c>
      <c r="F578">
        <v>10</v>
      </c>
      <c r="G578">
        <v>154</v>
      </c>
      <c r="H578" t="s">
        <v>12</v>
      </c>
      <c r="I578" t="s">
        <v>45</v>
      </c>
    </row>
    <row r="579" spans="1:9" x14ac:dyDescent="0.35">
      <c r="A579" t="s">
        <v>699</v>
      </c>
      <c r="B579" t="s">
        <v>464</v>
      </c>
      <c r="C579" t="s">
        <v>11</v>
      </c>
      <c r="D579" s="1">
        <v>45057</v>
      </c>
      <c r="E579">
        <v>934</v>
      </c>
      <c r="F579">
        <v>416</v>
      </c>
      <c r="G579">
        <v>518</v>
      </c>
      <c r="H579" t="s">
        <v>12</v>
      </c>
      <c r="I579" t="s">
        <v>24</v>
      </c>
    </row>
    <row r="580" spans="1:9" x14ac:dyDescent="0.35">
      <c r="A580" t="s">
        <v>700</v>
      </c>
      <c r="B580" t="s">
        <v>184</v>
      </c>
      <c r="C580" t="s">
        <v>23</v>
      </c>
      <c r="D580" s="1">
        <v>45482</v>
      </c>
      <c r="E580">
        <v>136</v>
      </c>
      <c r="F580">
        <v>14</v>
      </c>
      <c r="G580">
        <v>122</v>
      </c>
      <c r="H580" t="s">
        <v>12</v>
      </c>
      <c r="I580" t="s">
        <v>28</v>
      </c>
    </row>
    <row r="581" spans="1:9" x14ac:dyDescent="0.35">
      <c r="A581" t="s">
        <v>701</v>
      </c>
      <c r="B581" t="s">
        <v>404</v>
      </c>
      <c r="C581" t="s">
        <v>23</v>
      </c>
      <c r="D581" s="1">
        <v>45034</v>
      </c>
      <c r="E581">
        <v>987</v>
      </c>
      <c r="F581">
        <v>159</v>
      </c>
      <c r="G581">
        <v>828</v>
      </c>
      <c r="H581" t="s">
        <v>12</v>
      </c>
      <c r="I581" t="s">
        <v>24</v>
      </c>
    </row>
    <row r="582" spans="1:9" x14ac:dyDescent="0.35">
      <c r="A582" t="s">
        <v>702</v>
      </c>
      <c r="B582" t="s">
        <v>109</v>
      </c>
      <c r="C582" t="s">
        <v>27</v>
      </c>
      <c r="D582" s="1">
        <v>45084</v>
      </c>
      <c r="E582">
        <v>380</v>
      </c>
      <c r="F582">
        <v>23</v>
      </c>
      <c r="G582">
        <v>357</v>
      </c>
      <c r="H582" t="s">
        <v>12</v>
      </c>
      <c r="I582" t="s">
        <v>24</v>
      </c>
    </row>
    <row r="583" spans="1:9" x14ac:dyDescent="0.35">
      <c r="A583" t="s">
        <v>703</v>
      </c>
      <c r="B583" t="s">
        <v>87</v>
      </c>
      <c r="C583" t="s">
        <v>23</v>
      </c>
      <c r="D583" s="1">
        <v>45156</v>
      </c>
      <c r="E583">
        <v>871</v>
      </c>
      <c r="F583">
        <v>445</v>
      </c>
      <c r="G583">
        <v>426</v>
      </c>
      <c r="H583" t="s">
        <v>12</v>
      </c>
      <c r="I583" t="s">
        <v>45</v>
      </c>
    </row>
    <row r="584" spans="1:9" x14ac:dyDescent="0.35">
      <c r="A584" t="s">
        <v>704</v>
      </c>
      <c r="B584" t="s">
        <v>138</v>
      </c>
      <c r="C584" t="s">
        <v>16</v>
      </c>
      <c r="D584" s="1">
        <v>45031</v>
      </c>
      <c r="E584">
        <v>813</v>
      </c>
      <c r="F584">
        <v>137</v>
      </c>
      <c r="G584">
        <v>676</v>
      </c>
      <c r="H584" t="s">
        <v>12</v>
      </c>
      <c r="I584" t="s">
        <v>45</v>
      </c>
    </row>
    <row r="585" spans="1:9" x14ac:dyDescent="0.35">
      <c r="A585" t="s">
        <v>705</v>
      </c>
      <c r="B585" t="s">
        <v>22</v>
      </c>
      <c r="C585" t="s">
        <v>31</v>
      </c>
      <c r="D585" s="1">
        <v>45183</v>
      </c>
      <c r="E585">
        <v>177</v>
      </c>
      <c r="F585">
        <v>172</v>
      </c>
      <c r="G585">
        <v>5</v>
      </c>
      <c r="H585" t="s">
        <v>12</v>
      </c>
      <c r="I585" t="s">
        <v>28</v>
      </c>
    </row>
    <row r="586" spans="1:9" x14ac:dyDescent="0.35">
      <c r="A586" t="s">
        <v>706</v>
      </c>
      <c r="B586" t="s">
        <v>76</v>
      </c>
      <c r="C586" t="s">
        <v>31</v>
      </c>
      <c r="D586" s="1">
        <v>45418</v>
      </c>
      <c r="E586">
        <v>643</v>
      </c>
      <c r="F586">
        <v>149</v>
      </c>
      <c r="G586">
        <v>494</v>
      </c>
      <c r="H586" t="s">
        <v>12</v>
      </c>
      <c r="I586" t="s">
        <v>45</v>
      </c>
    </row>
    <row r="587" spans="1:9" x14ac:dyDescent="0.35">
      <c r="A587" t="s">
        <v>707</v>
      </c>
      <c r="B587" t="s">
        <v>206</v>
      </c>
      <c r="C587" t="s">
        <v>31</v>
      </c>
      <c r="D587" s="1">
        <v>44997</v>
      </c>
      <c r="E587">
        <v>639</v>
      </c>
      <c r="F587">
        <v>405</v>
      </c>
      <c r="G587">
        <v>234</v>
      </c>
      <c r="H587" t="s">
        <v>12</v>
      </c>
      <c r="I587" t="s">
        <v>32</v>
      </c>
    </row>
    <row r="588" spans="1:9" x14ac:dyDescent="0.35">
      <c r="A588" t="s">
        <v>708</v>
      </c>
      <c r="B588" t="s">
        <v>506</v>
      </c>
      <c r="C588" t="s">
        <v>23</v>
      </c>
      <c r="D588" s="1">
        <v>45328</v>
      </c>
      <c r="E588">
        <v>357</v>
      </c>
      <c r="F588">
        <v>29</v>
      </c>
      <c r="G588">
        <v>328</v>
      </c>
      <c r="H588" t="s">
        <v>12</v>
      </c>
      <c r="I588" t="s">
        <v>24</v>
      </c>
    </row>
    <row r="589" spans="1:9" x14ac:dyDescent="0.35">
      <c r="A589" t="s">
        <v>709</v>
      </c>
      <c r="B589" t="s">
        <v>15</v>
      </c>
      <c r="C589" t="s">
        <v>23</v>
      </c>
      <c r="D589" s="1">
        <v>45043</v>
      </c>
      <c r="E589">
        <v>980</v>
      </c>
      <c r="F589">
        <v>961</v>
      </c>
      <c r="G589">
        <v>19</v>
      </c>
      <c r="H589" t="s">
        <v>12</v>
      </c>
      <c r="I589" t="s">
        <v>45</v>
      </c>
    </row>
    <row r="590" spans="1:9" x14ac:dyDescent="0.35">
      <c r="A590" t="s">
        <v>710</v>
      </c>
      <c r="B590" t="s">
        <v>143</v>
      </c>
      <c r="C590" t="s">
        <v>11</v>
      </c>
      <c r="D590" s="1">
        <v>45332</v>
      </c>
      <c r="E590">
        <v>861</v>
      </c>
      <c r="F590">
        <v>551</v>
      </c>
      <c r="G590">
        <v>310</v>
      </c>
      <c r="H590" t="s">
        <v>12</v>
      </c>
      <c r="I590" t="s">
        <v>32</v>
      </c>
    </row>
    <row r="591" spans="1:9" x14ac:dyDescent="0.35">
      <c r="A591" t="s">
        <v>711</v>
      </c>
      <c r="B591" t="s">
        <v>221</v>
      </c>
      <c r="C591" t="s">
        <v>27</v>
      </c>
      <c r="D591" s="1">
        <v>45230</v>
      </c>
      <c r="E591">
        <v>163</v>
      </c>
      <c r="F591">
        <v>126</v>
      </c>
      <c r="G591">
        <v>37</v>
      </c>
      <c r="H591" t="s">
        <v>12</v>
      </c>
      <c r="I591" t="s">
        <v>20</v>
      </c>
    </row>
    <row r="592" spans="1:9" x14ac:dyDescent="0.35">
      <c r="A592" t="s">
        <v>712</v>
      </c>
      <c r="B592" t="s">
        <v>150</v>
      </c>
      <c r="C592" t="s">
        <v>19</v>
      </c>
      <c r="D592" s="1">
        <v>45047</v>
      </c>
      <c r="E592">
        <v>416</v>
      </c>
      <c r="F592">
        <v>371</v>
      </c>
      <c r="G592">
        <v>45</v>
      </c>
      <c r="H592" t="s">
        <v>12</v>
      </c>
      <c r="I592" t="s">
        <v>32</v>
      </c>
    </row>
    <row r="593" spans="1:9" x14ac:dyDescent="0.35">
      <c r="A593" t="s">
        <v>713</v>
      </c>
      <c r="B593" t="s">
        <v>42</v>
      </c>
      <c r="C593" t="s">
        <v>27</v>
      </c>
      <c r="D593" s="1">
        <v>45425</v>
      </c>
      <c r="E593">
        <v>524</v>
      </c>
      <c r="F593">
        <v>286</v>
      </c>
      <c r="G593">
        <v>238</v>
      </c>
      <c r="H593" t="s">
        <v>12</v>
      </c>
      <c r="I593" t="s">
        <v>28</v>
      </c>
    </row>
    <row r="594" spans="1:9" x14ac:dyDescent="0.35">
      <c r="A594" t="s">
        <v>714</v>
      </c>
      <c r="B594" t="s">
        <v>175</v>
      </c>
      <c r="C594" t="s">
        <v>11</v>
      </c>
      <c r="D594" s="1">
        <v>45005</v>
      </c>
      <c r="E594">
        <v>686</v>
      </c>
      <c r="F594">
        <v>509</v>
      </c>
      <c r="G594">
        <v>177</v>
      </c>
      <c r="H594" t="s">
        <v>12</v>
      </c>
      <c r="I594" t="s">
        <v>32</v>
      </c>
    </row>
    <row r="595" spans="1:9" x14ac:dyDescent="0.35">
      <c r="A595" t="s">
        <v>715</v>
      </c>
      <c r="B595" t="s">
        <v>67</v>
      </c>
      <c r="C595" t="s">
        <v>19</v>
      </c>
      <c r="D595" s="1">
        <v>45464</v>
      </c>
      <c r="E595">
        <v>855</v>
      </c>
      <c r="F595">
        <v>637</v>
      </c>
      <c r="G595">
        <v>218</v>
      </c>
      <c r="H595" t="s">
        <v>12</v>
      </c>
      <c r="I595" t="s">
        <v>20</v>
      </c>
    </row>
    <row r="596" spans="1:9" x14ac:dyDescent="0.35">
      <c r="A596" t="s">
        <v>716</v>
      </c>
      <c r="B596" t="s">
        <v>184</v>
      </c>
      <c r="C596" t="s">
        <v>19</v>
      </c>
      <c r="D596" s="1">
        <v>45221</v>
      </c>
      <c r="E596">
        <v>956</v>
      </c>
      <c r="F596">
        <v>827</v>
      </c>
      <c r="G596">
        <v>129</v>
      </c>
      <c r="H596" t="s">
        <v>12</v>
      </c>
      <c r="I596" t="s">
        <v>28</v>
      </c>
    </row>
    <row r="597" spans="1:9" x14ac:dyDescent="0.35">
      <c r="A597" t="s">
        <v>717</v>
      </c>
      <c r="B597" t="s">
        <v>265</v>
      </c>
      <c r="C597" t="s">
        <v>23</v>
      </c>
      <c r="D597" s="1">
        <v>45505</v>
      </c>
      <c r="E597">
        <v>143</v>
      </c>
      <c r="F597">
        <v>68</v>
      </c>
      <c r="G597">
        <v>75</v>
      </c>
      <c r="H597" t="s">
        <v>12</v>
      </c>
      <c r="I597" t="s">
        <v>24</v>
      </c>
    </row>
    <row r="598" spans="1:9" x14ac:dyDescent="0.35">
      <c r="A598" t="s">
        <v>718</v>
      </c>
      <c r="B598" t="s">
        <v>186</v>
      </c>
      <c r="C598" t="s">
        <v>19</v>
      </c>
      <c r="D598" s="1">
        <v>45337</v>
      </c>
      <c r="E598">
        <v>552</v>
      </c>
      <c r="F598">
        <v>317</v>
      </c>
      <c r="G598">
        <v>235</v>
      </c>
      <c r="H598" t="s">
        <v>12</v>
      </c>
      <c r="I598" t="s">
        <v>32</v>
      </c>
    </row>
    <row r="599" spans="1:9" x14ac:dyDescent="0.35">
      <c r="A599" t="s">
        <v>719</v>
      </c>
      <c r="B599" t="s">
        <v>143</v>
      </c>
      <c r="C599" t="s">
        <v>11</v>
      </c>
      <c r="D599" s="1">
        <v>45159</v>
      </c>
      <c r="E599">
        <v>135</v>
      </c>
      <c r="F599">
        <v>126</v>
      </c>
      <c r="G599">
        <v>9</v>
      </c>
      <c r="H599" t="s">
        <v>12</v>
      </c>
      <c r="I599" t="s">
        <v>20</v>
      </c>
    </row>
    <row r="600" spans="1:9" x14ac:dyDescent="0.35">
      <c r="A600" t="s">
        <v>720</v>
      </c>
      <c r="B600" t="s">
        <v>178</v>
      </c>
      <c r="C600" t="s">
        <v>16</v>
      </c>
      <c r="D600" s="1">
        <v>45006</v>
      </c>
      <c r="E600">
        <v>536</v>
      </c>
      <c r="F600">
        <v>155</v>
      </c>
      <c r="G600">
        <v>381</v>
      </c>
      <c r="H600" t="s">
        <v>12</v>
      </c>
      <c r="I600" t="s">
        <v>20</v>
      </c>
    </row>
    <row r="601" spans="1:9" x14ac:dyDescent="0.35">
      <c r="A601" t="s">
        <v>721</v>
      </c>
      <c r="B601" t="s">
        <v>145</v>
      </c>
      <c r="C601" t="s">
        <v>11</v>
      </c>
      <c r="D601" s="1">
        <v>45142</v>
      </c>
      <c r="E601">
        <v>452</v>
      </c>
      <c r="F601">
        <v>202</v>
      </c>
      <c r="G601">
        <v>250</v>
      </c>
      <c r="H601" t="s">
        <v>12</v>
      </c>
      <c r="I601" t="s">
        <v>28</v>
      </c>
    </row>
    <row r="602" spans="1:9" x14ac:dyDescent="0.35">
      <c r="A602" t="s">
        <v>722</v>
      </c>
      <c r="B602" t="s">
        <v>130</v>
      </c>
      <c r="C602" t="s">
        <v>11</v>
      </c>
      <c r="D602" s="1">
        <v>45489</v>
      </c>
      <c r="E602">
        <v>138</v>
      </c>
      <c r="F602">
        <v>64</v>
      </c>
      <c r="G602">
        <v>74</v>
      </c>
      <c r="H602" t="s">
        <v>12</v>
      </c>
      <c r="I602" t="s">
        <v>20</v>
      </c>
    </row>
    <row r="603" spans="1:9" x14ac:dyDescent="0.35">
      <c r="A603" t="s">
        <v>723</v>
      </c>
      <c r="B603" t="s">
        <v>322</v>
      </c>
      <c r="C603" t="s">
        <v>11</v>
      </c>
      <c r="D603" s="1">
        <v>45094</v>
      </c>
      <c r="E603">
        <v>651</v>
      </c>
      <c r="F603">
        <v>615</v>
      </c>
      <c r="G603">
        <v>36</v>
      </c>
      <c r="H603" t="s">
        <v>12</v>
      </c>
      <c r="I603" t="s">
        <v>20</v>
      </c>
    </row>
    <row r="604" spans="1:9" x14ac:dyDescent="0.35">
      <c r="A604" t="s">
        <v>724</v>
      </c>
      <c r="B604" t="s">
        <v>80</v>
      </c>
      <c r="C604" t="s">
        <v>11</v>
      </c>
      <c r="D604" s="1">
        <v>45123</v>
      </c>
      <c r="E604">
        <v>163</v>
      </c>
      <c r="F604">
        <v>155</v>
      </c>
      <c r="G604">
        <v>8</v>
      </c>
      <c r="H604" t="s">
        <v>12</v>
      </c>
      <c r="I604" t="s">
        <v>45</v>
      </c>
    </row>
    <row r="605" spans="1:9" x14ac:dyDescent="0.35">
      <c r="A605" t="s">
        <v>725</v>
      </c>
      <c r="B605" t="s">
        <v>161</v>
      </c>
      <c r="C605" t="s">
        <v>19</v>
      </c>
      <c r="D605" s="1">
        <v>45081</v>
      </c>
      <c r="E605">
        <v>956</v>
      </c>
      <c r="F605">
        <v>206</v>
      </c>
      <c r="G605">
        <v>750</v>
      </c>
      <c r="H605" t="s">
        <v>12</v>
      </c>
      <c r="I605" t="s">
        <v>32</v>
      </c>
    </row>
    <row r="606" spans="1:9" x14ac:dyDescent="0.35">
      <c r="A606" t="s">
        <v>726</v>
      </c>
      <c r="B606" t="s">
        <v>168</v>
      </c>
      <c r="C606" t="s">
        <v>23</v>
      </c>
      <c r="D606" s="1">
        <v>45169</v>
      </c>
      <c r="E606">
        <v>595</v>
      </c>
      <c r="F606">
        <v>466</v>
      </c>
      <c r="G606">
        <v>129</v>
      </c>
      <c r="H606" t="s">
        <v>12</v>
      </c>
      <c r="I606" t="s">
        <v>45</v>
      </c>
    </row>
    <row r="607" spans="1:9" x14ac:dyDescent="0.35">
      <c r="A607" t="s">
        <v>727</v>
      </c>
      <c r="B607" t="s">
        <v>115</v>
      </c>
      <c r="C607" t="s">
        <v>19</v>
      </c>
      <c r="D607" s="1">
        <v>45221</v>
      </c>
      <c r="E607">
        <v>310</v>
      </c>
      <c r="F607">
        <v>207</v>
      </c>
      <c r="G607">
        <v>103</v>
      </c>
      <c r="H607" t="s">
        <v>12</v>
      </c>
      <c r="I607" t="s">
        <v>13</v>
      </c>
    </row>
    <row r="608" spans="1:9" x14ac:dyDescent="0.35">
      <c r="A608" t="s">
        <v>728</v>
      </c>
      <c r="B608" t="s">
        <v>375</v>
      </c>
      <c r="C608" t="s">
        <v>19</v>
      </c>
      <c r="D608" s="1">
        <v>45418</v>
      </c>
      <c r="E608">
        <v>510</v>
      </c>
      <c r="F608">
        <v>198</v>
      </c>
      <c r="G608">
        <v>312</v>
      </c>
      <c r="H608" t="s">
        <v>12</v>
      </c>
      <c r="I608" t="s">
        <v>20</v>
      </c>
    </row>
    <row r="609" spans="1:9" x14ac:dyDescent="0.35">
      <c r="A609" t="s">
        <v>729</v>
      </c>
      <c r="B609" t="s">
        <v>171</v>
      </c>
      <c r="C609" t="s">
        <v>19</v>
      </c>
      <c r="D609" s="1">
        <v>45377</v>
      </c>
      <c r="E609">
        <v>580</v>
      </c>
      <c r="F609">
        <v>234</v>
      </c>
      <c r="G609">
        <v>346</v>
      </c>
      <c r="H609" t="s">
        <v>12</v>
      </c>
      <c r="I609" t="s">
        <v>20</v>
      </c>
    </row>
    <row r="610" spans="1:9" x14ac:dyDescent="0.35">
      <c r="A610" t="s">
        <v>730</v>
      </c>
      <c r="B610" t="s">
        <v>145</v>
      </c>
      <c r="C610" t="s">
        <v>31</v>
      </c>
      <c r="D610" s="1">
        <v>45004</v>
      </c>
      <c r="E610">
        <v>411</v>
      </c>
      <c r="F610">
        <v>118</v>
      </c>
      <c r="G610">
        <v>293</v>
      </c>
      <c r="H610" t="s">
        <v>12</v>
      </c>
      <c r="I610" t="s">
        <v>32</v>
      </c>
    </row>
    <row r="611" spans="1:9" x14ac:dyDescent="0.35">
      <c r="A611" t="s">
        <v>731</v>
      </c>
      <c r="B611" t="s">
        <v>130</v>
      </c>
      <c r="C611" t="s">
        <v>19</v>
      </c>
      <c r="D611" s="1">
        <v>45129</v>
      </c>
      <c r="E611">
        <v>591</v>
      </c>
      <c r="F611">
        <v>589</v>
      </c>
      <c r="G611">
        <v>2</v>
      </c>
      <c r="H611" t="s">
        <v>12</v>
      </c>
      <c r="I611" t="s">
        <v>32</v>
      </c>
    </row>
    <row r="612" spans="1:9" x14ac:dyDescent="0.35">
      <c r="A612" t="s">
        <v>732</v>
      </c>
      <c r="B612" t="s">
        <v>111</v>
      </c>
      <c r="C612" t="s">
        <v>31</v>
      </c>
      <c r="D612" s="1">
        <v>45215</v>
      </c>
      <c r="E612">
        <v>659</v>
      </c>
      <c r="F612">
        <v>622</v>
      </c>
      <c r="G612">
        <v>37</v>
      </c>
      <c r="H612" t="s">
        <v>12</v>
      </c>
      <c r="I612" t="s">
        <v>28</v>
      </c>
    </row>
    <row r="613" spans="1:9" x14ac:dyDescent="0.35">
      <c r="A613" t="s">
        <v>733</v>
      </c>
      <c r="B613" t="s">
        <v>216</v>
      </c>
      <c r="C613" t="s">
        <v>27</v>
      </c>
      <c r="D613" s="1">
        <v>45461</v>
      </c>
      <c r="E613">
        <v>690</v>
      </c>
      <c r="F613">
        <v>77</v>
      </c>
      <c r="G613">
        <v>613</v>
      </c>
      <c r="H613" t="s">
        <v>12</v>
      </c>
      <c r="I613" t="s">
        <v>32</v>
      </c>
    </row>
    <row r="614" spans="1:9" x14ac:dyDescent="0.35">
      <c r="A614" t="s">
        <v>734</v>
      </c>
      <c r="B614" t="s">
        <v>400</v>
      </c>
      <c r="C614" t="s">
        <v>16</v>
      </c>
      <c r="D614" s="1">
        <v>45062</v>
      </c>
      <c r="E614">
        <v>691</v>
      </c>
      <c r="F614">
        <v>140</v>
      </c>
      <c r="G614">
        <v>551</v>
      </c>
      <c r="H614" t="s">
        <v>12</v>
      </c>
      <c r="I614" t="s">
        <v>32</v>
      </c>
    </row>
    <row r="615" spans="1:9" x14ac:dyDescent="0.35">
      <c r="A615" t="s">
        <v>735</v>
      </c>
      <c r="B615" t="s">
        <v>103</v>
      </c>
      <c r="C615" t="s">
        <v>23</v>
      </c>
      <c r="D615" s="1">
        <v>45236</v>
      </c>
      <c r="E615">
        <v>185</v>
      </c>
      <c r="F615">
        <v>168</v>
      </c>
      <c r="G615">
        <v>17</v>
      </c>
      <c r="H615" t="s">
        <v>12</v>
      </c>
      <c r="I615" t="s">
        <v>20</v>
      </c>
    </row>
    <row r="616" spans="1:9" x14ac:dyDescent="0.35">
      <c r="A616" t="s">
        <v>736</v>
      </c>
      <c r="B616" t="s">
        <v>228</v>
      </c>
      <c r="C616" t="s">
        <v>11</v>
      </c>
      <c r="D616" s="1">
        <v>45258</v>
      </c>
      <c r="E616">
        <v>589</v>
      </c>
      <c r="F616">
        <v>70</v>
      </c>
      <c r="G616">
        <v>519</v>
      </c>
      <c r="H616" t="s">
        <v>12</v>
      </c>
      <c r="I616" t="s">
        <v>28</v>
      </c>
    </row>
    <row r="617" spans="1:9" x14ac:dyDescent="0.35">
      <c r="A617" t="s">
        <v>737</v>
      </c>
      <c r="B617" t="s">
        <v>276</v>
      </c>
      <c r="C617" t="s">
        <v>16</v>
      </c>
      <c r="D617" s="1">
        <v>45371</v>
      </c>
      <c r="E617">
        <v>653</v>
      </c>
      <c r="F617">
        <v>50</v>
      </c>
      <c r="G617">
        <v>603</v>
      </c>
      <c r="H617" t="s">
        <v>12</v>
      </c>
      <c r="I617" t="s">
        <v>20</v>
      </c>
    </row>
    <row r="618" spans="1:9" x14ac:dyDescent="0.35">
      <c r="A618" t="s">
        <v>738</v>
      </c>
      <c r="B618" t="s">
        <v>26</v>
      </c>
      <c r="C618" t="s">
        <v>27</v>
      </c>
      <c r="D618" s="1">
        <v>45021</v>
      </c>
      <c r="E618">
        <v>385</v>
      </c>
      <c r="F618">
        <v>215</v>
      </c>
      <c r="G618">
        <v>170</v>
      </c>
      <c r="H618" t="s">
        <v>12</v>
      </c>
      <c r="I618" t="s">
        <v>24</v>
      </c>
    </row>
    <row r="619" spans="1:9" x14ac:dyDescent="0.35">
      <c r="A619" t="s">
        <v>739</v>
      </c>
      <c r="B619" t="s">
        <v>87</v>
      </c>
      <c r="C619" t="s">
        <v>27</v>
      </c>
      <c r="D619" s="1">
        <v>45124</v>
      </c>
      <c r="E619">
        <v>267</v>
      </c>
      <c r="F619">
        <v>7</v>
      </c>
      <c r="G619">
        <v>260</v>
      </c>
      <c r="H619" t="s">
        <v>12</v>
      </c>
      <c r="I619" t="s">
        <v>32</v>
      </c>
    </row>
    <row r="620" spans="1:9" x14ac:dyDescent="0.35">
      <c r="A620" t="s">
        <v>740</v>
      </c>
      <c r="B620" t="s">
        <v>91</v>
      </c>
      <c r="C620" t="s">
        <v>11</v>
      </c>
      <c r="D620" s="1">
        <v>45452</v>
      </c>
      <c r="E620">
        <v>181</v>
      </c>
      <c r="F620">
        <v>143</v>
      </c>
      <c r="G620">
        <v>38</v>
      </c>
      <c r="H620" t="s">
        <v>12</v>
      </c>
      <c r="I620" t="s">
        <v>20</v>
      </c>
    </row>
    <row r="621" spans="1:9" x14ac:dyDescent="0.35">
      <c r="A621" t="s">
        <v>741</v>
      </c>
      <c r="B621" t="s">
        <v>506</v>
      </c>
      <c r="C621" t="s">
        <v>16</v>
      </c>
      <c r="D621" s="1">
        <v>44937</v>
      </c>
      <c r="E621">
        <v>123</v>
      </c>
      <c r="F621">
        <v>81</v>
      </c>
      <c r="G621">
        <v>42</v>
      </c>
      <c r="H621" t="s">
        <v>12</v>
      </c>
      <c r="I621" t="s">
        <v>28</v>
      </c>
    </row>
    <row r="622" spans="1:9" x14ac:dyDescent="0.35">
      <c r="A622" t="s">
        <v>742</v>
      </c>
      <c r="B622" t="s">
        <v>91</v>
      </c>
      <c r="C622" t="s">
        <v>27</v>
      </c>
      <c r="D622" s="1">
        <v>45381</v>
      </c>
      <c r="E622">
        <v>774</v>
      </c>
      <c r="F622">
        <v>475</v>
      </c>
      <c r="G622">
        <v>299</v>
      </c>
      <c r="H622" t="s">
        <v>12</v>
      </c>
      <c r="I622" t="s">
        <v>24</v>
      </c>
    </row>
    <row r="623" spans="1:9" x14ac:dyDescent="0.35">
      <c r="A623" t="s">
        <v>743</v>
      </c>
      <c r="B623" t="s">
        <v>221</v>
      </c>
      <c r="C623" t="s">
        <v>31</v>
      </c>
      <c r="D623" s="1">
        <v>45202</v>
      </c>
      <c r="E623">
        <v>884</v>
      </c>
      <c r="F623">
        <v>225</v>
      </c>
      <c r="G623">
        <v>659</v>
      </c>
      <c r="H623" t="s">
        <v>12</v>
      </c>
      <c r="I623" t="s">
        <v>45</v>
      </c>
    </row>
    <row r="624" spans="1:9" x14ac:dyDescent="0.35">
      <c r="A624" t="s">
        <v>744</v>
      </c>
      <c r="B624" t="s">
        <v>375</v>
      </c>
      <c r="C624" t="s">
        <v>19</v>
      </c>
      <c r="D624" s="1">
        <v>44938</v>
      </c>
      <c r="E624">
        <v>855</v>
      </c>
      <c r="F624">
        <v>795</v>
      </c>
      <c r="G624">
        <v>60</v>
      </c>
      <c r="H624" t="s">
        <v>12</v>
      </c>
      <c r="I624" t="s">
        <v>20</v>
      </c>
    </row>
    <row r="625" spans="1:9" x14ac:dyDescent="0.35">
      <c r="A625" t="s">
        <v>745</v>
      </c>
      <c r="B625" t="s">
        <v>195</v>
      </c>
      <c r="C625" t="s">
        <v>19</v>
      </c>
      <c r="D625" s="1">
        <v>45200</v>
      </c>
      <c r="E625">
        <v>833</v>
      </c>
      <c r="F625">
        <v>579</v>
      </c>
      <c r="G625">
        <v>254</v>
      </c>
      <c r="H625" t="s">
        <v>12</v>
      </c>
      <c r="I625" t="s">
        <v>28</v>
      </c>
    </row>
    <row r="626" spans="1:9" x14ac:dyDescent="0.35">
      <c r="A626" t="s">
        <v>746</v>
      </c>
      <c r="B626" t="s">
        <v>161</v>
      </c>
      <c r="C626" t="s">
        <v>11</v>
      </c>
      <c r="D626" s="1">
        <v>45388</v>
      </c>
      <c r="E626">
        <v>962</v>
      </c>
      <c r="F626">
        <v>392</v>
      </c>
      <c r="G626">
        <v>570</v>
      </c>
      <c r="H626" t="s">
        <v>12</v>
      </c>
      <c r="I626" t="s">
        <v>24</v>
      </c>
    </row>
    <row r="627" spans="1:9" x14ac:dyDescent="0.35">
      <c r="A627" t="s">
        <v>747</v>
      </c>
      <c r="B627" t="s">
        <v>175</v>
      </c>
      <c r="C627" t="s">
        <v>19</v>
      </c>
      <c r="D627" s="1">
        <v>44965</v>
      </c>
      <c r="E627">
        <v>549</v>
      </c>
      <c r="F627">
        <v>187</v>
      </c>
      <c r="G627">
        <v>362</v>
      </c>
      <c r="H627" t="s">
        <v>12</v>
      </c>
      <c r="I627" t="s">
        <v>28</v>
      </c>
    </row>
    <row r="628" spans="1:9" x14ac:dyDescent="0.35">
      <c r="A628" t="s">
        <v>748</v>
      </c>
      <c r="B628" t="s">
        <v>216</v>
      </c>
      <c r="C628" t="s">
        <v>19</v>
      </c>
      <c r="D628" s="1">
        <v>44931</v>
      </c>
      <c r="E628">
        <v>871</v>
      </c>
      <c r="F628">
        <v>771</v>
      </c>
      <c r="G628">
        <v>100</v>
      </c>
      <c r="H628" t="s">
        <v>12</v>
      </c>
      <c r="I628" t="s">
        <v>32</v>
      </c>
    </row>
    <row r="629" spans="1:9" x14ac:dyDescent="0.35">
      <c r="A629" t="s">
        <v>749</v>
      </c>
      <c r="B629" t="s">
        <v>138</v>
      </c>
      <c r="C629" t="s">
        <v>31</v>
      </c>
      <c r="D629" s="1">
        <v>45072</v>
      </c>
      <c r="E629">
        <v>819</v>
      </c>
      <c r="F629">
        <v>43</v>
      </c>
      <c r="G629">
        <v>776</v>
      </c>
      <c r="H629" t="s">
        <v>12</v>
      </c>
      <c r="I629" t="s">
        <v>13</v>
      </c>
    </row>
    <row r="630" spans="1:9" x14ac:dyDescent="0.35">
      <c r="A630" t="s">
        <v>750</v>
      </c>
      <c r="B630" t="s">
        <v>54</v>
      </c>
      <c r="C630" t="s">
        <v>23</v>
      </c>
      <c r="D630" s="1">
        <v>44970</v>
      </c>
      <c r="E630">
        <v>425</v>
      </c>
      <c r="F630">
        <v>83</v>
      </c>
      <c r="G630">
        <v>342</v>
      </c>
      <c r="H630" t="s">
        <v>12</v>
      </c>
      <c r="I630" t="s">
        <v>45</v>
      </c>
    </row>
    <row r="631" spans="1:9" x14ac:dyDescent="0.35">
      <c r="A631" t="s">
        <v>751</v>
      </c>
      <c r="B631" t="s">
        <v>189</v>
      </c>
      <c r="C631" t="s">
        <v>23</v>
      </c>
      <c r="D631" s="1">
        <v>45204</v>
      </c>
      <c r="E631">
        <v>727</v>
      </c>
      <c r="F631">
        <v>581</v>
      </c>
      <c r="G631">
        <v>146</v>
      </c>
      <c r="H631" t="s">
        <v>12</v>
      </c>
      <c r="I631" t="s">
        <v>28</v>
      </c>
    </row>
    <row r="632" spans="1:9" x14ac:dyDescent="0.35">
      <c r="A632" t="s">
        <v>752</v>
      </c>
      <c r="B632" t="s">
        <v>506</v>
      </c>
      <c r="C632" t="s">
        <v>11</v>
      </c>
      <c r="D632" s="1">
        <v>45428</v>
      </c>
      <c r="E632">
        <v>818</v>
      </c>
      <c r="F632">
        <v>759</v>
      </c>
      <c r="G632">
        <v>59</v>
      </c>
      <c r="H632" t="s">
        <v>12</v>
      </c>
      <c r="I632" t="s">
        <v>45</v>
      </c>
    </row>
    <row r="633" spans="1:9" x14ac:dyDescent="0.35">
      <c r="A633" t="s">
        <v>753</v>
      </c>
      <c r="B633" t="s">
        <v>337</v>
      </c>
      <c r="C633" t="s">
        <v>19</v>
      </c>
      <c r="D633" s="1">
        <v>45355</v>
      </c>
      <c r="E633">
        <v>971</v>
      </c>
      <c r="F633">
        <v>839</v>
      </c>
      <c r="G633">
        <v>132</v>
      </c>
      <c r="H633" t="s">
        <v>12</v>
      </c>
      <c r="I633" t="s">
        <v>45</v>
      </c>
    </row>
    <row r="634" spans="1:9" x14ac:dyDescent="0.35">
      <c r="A634" t="s">
        <v>754</v>
      </c>
      <c r="B634" t="s">
        <v>22</v>
      </c>
      <c r="C634" t="s">
        <v>11</v>
      </c>
      <c r="D634" s="1">
        <v>45522</v>
      </c>
      <c r="E634">
        <v>293</v>
      </c>
      <c r="F634">
        <v>179</v>
      </c>
      <c r="G634">
        <v>114</v>
      </c>
      <c r="H634" t="s">
        <v>12</v>
      </c>
      <c r="I634" t="s">
        <v>20</v>
      </c>
    </row>
    <row r="635" spans="1:9" x14ac:dyDescent="0.35">
      <c r="A635" t="s">
        <v>755</v>
      </c>
      <c r="B635" t="s">
        <v>206</v>
      </c>
      <c r="C635" t="s">
        <v>19</v>
      </c>
      <c r="D635" s="1">
        <v>45123</v>
      </c>
      <c r="E635">
        <v>110</v>
      </c>
      <c r="F635">
        <v>62</v>
      </c>
      <c r="G635">
        <v>48</v>
      </c>
      <c r="H635" t="s">
        <v>12</v>
      </c>
      <c r="I635" t="s">
        <v>28</v>
      </c>
    </row>
    <row r="636" spans="1:9" x14ac:dyDescent="0.35">
      <c r="A636" t="s">
        <v>756</v>
      </c>
      <c r="B636" t="s">
        <v>259</v>
      </c>
      <c r="C636" t="s">
        <v>27</v>
      </c>
      <c r="D636" s="1">
        <v>45413</v>
      </c>
      <c r="E636">
        <v>490</v>
      </c>
      <c r="F636">
        <v>456</v>
      </c>
      <c r="G636">
        <v>34</v>
      </c>
      <c r="H636" t="s">
        <v>12</v>
      </c>
      <c r="I636" t="s">
        <v>20</v>
      </c>
    </row>
    <row r="637" spans="1:9" x14ac:dyDescent="0.35">
      <c r="A637" t="s">
        <v>757</v>
      </c>
      <c r="B637" t="s">
        <v>115</v>
      </c>
      <c r="C637" t="s">
        <v>23</v>
      </c>
      <c r="D637" s="1">
        <v>44971</v>
      </c>
      <c r="E637">
        <v>295</v>
      </c>
      <c r="F637">
        <v>84</v>
      </c>
      <c r="G637">
        <v>211</v>
      </c>
      <c r="H637" t="s">
        <v>12</v>
      </c>
      <c r="I637" t="s">
        <v>20</v>
      </c>
    </row>
    <row r="638" spans="1:9" x14ac:dyDescent="0.35">
      <c r="A638" t="s">
        <v>758</v>
      </c>
      <c r="B638" t="s">
        <v>125</v>
      </c>
      <c r="C638" t="s">
        <v>23</v>
      </c>
      <c r="D638" s="1">
        <v>45160</v>
      </c>
      <c r="E638">
        <v>375</v>
      </c>
      <c r="F638">
        <v>204</v>
      </c>
      <c r="G638">
        <v>171</v>
      </c>
      <c r="H638" t="s">
        <v>12</v>
      </c>
      <c r="I638" t="s">
        <v>24</v>
      </c>
    </row>
    <row r="639" spans="1:9" x14ac:dyDescent="0.35">
      <c r="A639" t="s">
        <v>759</v>
      </c>
      <c r="B639" t="s">
        <v>259</v>
      </c>
      <c r="C639" t="s">
        <v>11</v>
      </c>
      <c r="D639" s="1">
        <v>45322</v>
      </c>
      <c r="E639">
        <v>102</v>
      </c>
      <c r="F639">
        <v>43</v>
      </c>
      <c r="G639">
        <v>59</v>
      </c>
      <c r="H639" t="s">
        <v>12</v>
      </c>
      <c r="I639" t="s">
        <v>13</v>
      </c>
    </row>
    <row r="640" spans="1:9" x14ac:dyDescent="0.35">
      <c r="A640" t="s">
        <v>760</v>
      </c>
      <c r="B640" t="s">
        <v>171</v>
      </c>
      <c r="C640" t="s">
        <v>23</v>
      </c>
      <c r="D640" s="1">
        <v>45028</v>
      </c>
      <c r="E640">
        <v>249</v>
      </c>
      <c r="F640">
        <v>204</v>
      </c>
      <c r="G640">
        <v>45</v>
      </c>
      <c r="H640" t="s">
        <v>12</v>
      </c>
      <c r="I640" t="s">
        <v>24</v>
      </c>
    </row>
    <row r="641" spans="1:9" x14ac:dyDescent="0.35">
      <c r="A641" t="s">
        <v>761</v>
      </c>
      <c r="B641" t="s">
        <v>400</v>
      </c>
      <c r="C641" t="s">
        <v>16</v>
      </c>
      <c r="D641" s="1">
        <v>45109</v>
      </c>
      <c r="E641">
        <v>608</v>
      </c>
      <c r="F641">
        <v>348</v>
      </c>
      <c r="G641">
        <v>260</v>
      </c>
      <c r="H641" t="s">
        <v>12</v>
      </c>
      <c r="I641" t="s">
        <v>32</v>
      </c>
    </row>
    <row r="642" spans="1:9" x14ac:dyDescent="0.35">
      <c r="A642" t="s">
        <v>762</v>
      </c>
      <c r="B642" t="s">
        <v>67</v>
      </c>
      <c r="C642" t="s">
        <v>23</v>
      </c>
      <c r="D642" s="1">
        <v>45469</v>
      </c>
      <c r="E642">
        <v>998</v>
      </c>
      <c r="F642">
        <v>923</v>
      </c>
      <c r="G642">
        <v>75</v>
      </c>
      <c r="H642" t="s">
        <v>12</v>
      </c>
      <c r="I642" t="s">
        <v>13</v>
      </c>
    </row>
    <row r="643" spans="1:9" x14ac:dyDescent="0.35">
      <c r="A643" t="s">
        <v>763</v>
      </c>
      <c r="B643" t="s">
        <v>331</v>
      </c>
      <c r="C643" t="s">
        <v>19</v>
      </c>
      <c r="D643" s="1">
        <v>45154</v>
      </c>
      <c r="E643">
        <v>609</v>
      </c>
      <c r="F643">
        <v>197</v>
      </c>
      <c r="G643">
        <v>412</v>
      </c>
      <c r="H643" t="s">
        <v>12</v>
      </c>
      <c r="I643" t="s">
        <v>20</v>
      </c>
    </row>
    <row r="644" spans="1:9" x14ac:dyDescent="0.35">
      <c r="A644" t="s">
        <v>764</v>
      </c>
      <c r="B644" t="s">
        <v>175</v>
      </c>
      <c r="C644" t="s">
        <v>31</v>
      </c>
      <c r="D644" s="1">
        <v>45526</v>
      </c>
      <c r="E644">
        <v>255</v>
      </c>
      <c r="F644">
        <v>123</v>
      </c>
      <c r="G644">
        <v>132</v>
      </c>
      <c r="H644" t="s">
        <v>12</v>
      </c>
      <c r="I644" t="s">
        <v>13</v>
      </c>
    </row>
    <row r="645" spans="1:9" x14ac:dyDescent="0.35">
      <c r="A645" t="s">
        <v>765</v>
      </c>
      <c r="B645" t="s">
        <v>352</v>
      </c>
      <c r="C645" t="s">
        <v>11</v>
      </c>
      <c r="D645" s="1">
        <v>45094</v>
      </c>
      <c r="E645">
        <v>523</v>
      </c>
      <c r="F645">
        <v>186</v>
      </c>
      <c r="G645">
        <v>337</v>
      </c>
      <c r="H645" t="s">
        <v>12</v>
      </c>
      <c r="I645" t="s">
        <v>32</v>
      </c>
    </row>
    <row r="646" spans="1:9" x14ac:dyDescent="0.35">
      <c r="A646" t="s">
        <v>766</v>
      </c>
      <c r="B646" t="s">
        <v>26</v>
      </c>
      <c r="C646" t="s">
        <v>11</v>
      </c>
      <c r="D646" s="1">
        <v>45295</v>
      </c>
      <c r="E646">
        <v>301</v>
      </c>
      <c r="F646">
        <v>104</v>
      </c>
      <c r="G646">
        <v>197</v>
      </c>
      <c r="H646" t="s">
        <v>12</v>
      </c>
      <c r="I646" t="s">
        <v>13</v>
      </c>
    </row>
    <row r="647" spans="1:9" x14ac:dyDescent="0.35">
      <c r="A647" t="s">
        <v>767</v>
      </c>
      <c r="B647" t="s">
        <v>125</v>
      </c>
      <c r="C647" t="s">
        <v>27</v>
      </c>
      <c r="D647" s="1">
        <v>45092</v>
      </c>
      <c r="E647">
        <v>111</v>
      </c>
      <c r="F647">
        <v>57</v>
      </c>
      <c r="G647">
        <v>54</v>
      </c>
      <c r="H647" t="s">
        <v>12</v>
      </c>
      <c r="I647" t="s">
        <v>13</v>
      </c>
    </row>
    <row r="648" spans="1:9" x14ac:dyDescent="0.35">
      <c r="A648" t="s">
        <v>768</v>
      </c>
      <c r="B648" t="s">
        <v>506</v>
      </c>
      <c r="C648" t="s">
        <v>19</v>
      </c>
      <c r="D648" s="1">
        <v>45364</v>
      </c>
      <c r="E648">
        <v>548</v>
      </c>
      <c r="F648">
        <v>363</v>
      </c>
      <c r="G648">
        <v>185</v>
      </c>
      <c r="H648" t="s">
        <v>12</v>
      </c>
      <c r="I648" t="s">
        <v>28</v>
      </c>
    </row>
    <row r="649" spans="1:9" x14ac:dyDescent="0.35">
      <c r="A649" t="s">
        <v>769</v>
      </c>
      <c r="B649" t="s">
        <v>83</v>
      </c>
      <c r="C649" t="s">
        <v>16</v>
      </c>
      <c r="D649" s="1">
        <v>45357</v>
      </c>
      <c r="E649">
        <v>309</v>
      </c>
      <c r="F649">
        <v>252</v>
      </c>
      <c r="G649">
        <v>57</v>
      </c>
      <c r="H649" t="s">
        <v>12</v>
      </c>
      <c r="I649" t="s">
        <v>20</v>
      </c>
    </row>
    <row r="650" spans="1:9" x14ac:dyDescent="0.35">
      <c r="A650" t="s">
        <v>770</v>
      </c>
      <c r="B650" t="s">
        <v>26</v>
      </c>
      <c r="C650" t="s">
        <v>11</v>
      </c>
      <c r="D650" s="1">
        <v>45421</v>
      </c>
      <c r="E650">
        <v>410</v>
      </c>
      <c r="F650">
        <v>80</v>
      </c>
      <c r="G650">
        <v>330</v>
      </c>
      <c r="H650" t="s">
        <v>12</v>
      </c>
      <c r="I650" t="s">
        <v>13</v>
      </c>
    </row>
    <row r="651" spans="1:9" x14ac:dyDescent="0.35">
      <c r="A651" t="s">
        <v>771</v>
      </c>
      <c r="B651" t="s">
        <v>506</v>
      </c>
      <c r="C651" t="s">
        <v>31</v>
      </c>
      <c r="D651" s="1">
        <v>45435</v>
      </c>
      <c r="E651">
        <v>451</v>
      </c>
      <c r="F651">
        <v>420</v>
      </c>
      <c r="G651">
        <v>31</v>
      </c>
      <c r="H651" t="s">
        <v>12</v>
      </c>
      <c r="I651" t="s">
        <v>28</v>
      </c>
    </row>
    <row r="652" spans="1:9" x14ac:dyDescent="0.35">
      <c r="A652" t="s">
        <v>772</v>
      </c>
      <c r="B652" t="s">
        <v>214</v>
      </c>
      <c r="C652" t="s">
        <v>23</v>
      </c>
      <c r="D652" s="1">
        <v>45003</v>
      </c>
      <c r="E652">
        <v>926</v>
      </c>
      <c r="F652">
        <v>226</v>
      </c>
      <c r="G652">
        <v>700</v>
      </c>
      <c r="H652" t="s">
        <v>12</v>
      </c>
      <c r="I652" t="s">
        <v>32</v>
      </c>
    </row>
    <row r="653" spans="1:9" x14ac:dyDescent="0.35">
      <c r="A653" t="s">
        <v>773</v>
      </c>
      <c r="B653" t="s">
        <v>464</v>
      </c>
      <c r="C653" t="s">
        <v>23</v>
      </c>
      <c r="D653" s="1">
        <v>44980</v>
      </c>
      <c r="E653">
        <v>757</v>
      </c>
      <c r="F653">
        <v>525</v>
      </c>
      <c r="G653">
        <v>232</v>
      </c>
      <c r="H653" t="s">
        <v>12</v>
      </c>
      <c r="I653" t="s">
        <v>32</v>
      </c>
    </row>
    <row r="654" spans="1:9" x14ac:dyDescent="0.35">
      <c r="A654" t="s">
        <v>774</v>
      </c>
      <c r="B654" t="s">
        <v>72</v>
      </c>
      <c r="C654" t="s">
        <v>19</v>
      </c>
      <c r="D654" s="1">
        <v>45495</v>
      </c>
      <c r="E654">
        <v>727</v>
      </c>
      <c r="F654">
        <v>72</v>
      </c>
      <c r="G654">
        <v>655</v>
      </c>
      <c r="H654" t="s">
        <v>12</v>
      </c>
      <c r="I654" t="s">
        <v>24</v>
      </c>
    </row>
    <row r="655" spans="1:9" x14ac:dyDescent="0.35">
      <c r="A655" t="s">
        <v>775</v>
      </c>
      <c r="B655" t="s">
        <v>76</v>
      </c>
      <c r="C655" t="s">
        <v>23</v>
      </c>
      <c r="D655" s="1">
        <v>45139</v>
      </c>
      <c r="E655">
        <v>347</v>
      </c>
      <c r="F655">
        <v>75</v>
      </c>
      <c r="G655">
        <v>272</v>
      </c>
      <c r="H655" t="s">
        <v>12</v>
      </c>
      <c r="I655" t="s">
        <v>45</v>
      </c>
    </row>
    <row r="656" spans="1:9" x14ac:dyDescent="0.35">
      <c r="A656" t="s">
        <v>776</v>
      </c>
      <c r="B656" t="s">
        <v>134</v>
      </c>
      <c r="C656" t="s">
        <v>16</v>
      </c>
      <c r="D656" s="1">
        <v>45137</v>
      </c>
      <c r="E656">
        <v>484</v>
      </c>
      <c r="F656">
        <v>183</v>
      </c>
      <c r="G656">
        <v>301</v>
      </c>
      <c r="H656" t="s">
        <v>12</v>
      </c>
      <c r="I656" t="s">
        <v>32</v>
      </c>
    </row>
    <row r="657" spans="1:9" x14ac:dyDescent="0.35">
      <c r="A657" t="s">
        <v>777</v>
      </c>
      <c r="B657" t="s">
        <v>418</v>
      </c>
      <c r="C657" t="s">
        <v>11</v>
      </c>
      <c r="D657" s="1">
        <v>45399</v>
      </c>
      <c r="E657">
        <v>203</v>
      </c>
      <c r="F657">
        <v>151</v>
      </c>
      <c r="G657">
        <v>52</v>
      </c>
      <c r="H657" t="s">
        <v>12</v>
      </c>
      <c r="I657" t="s">
        <v>32</v>
      </c>
    </row>
    <row r="658" spans="1:9" x14ac:dyDescent="0.35">
      <c r="A658" t="s">
        <v>778</v>
      </c>
      <c r="B658" t="s">
        <v>171</v>
      </c>
      <c r="C658" t="s">
        <v>11</v>
      </c>
      <c r="D658" s="1">
        <v>45322</v>
      </c>
      <c r="E658">
        <v>947</v>
      </c>
      <c r="F658">
        <v>448</v>
      </c>
      <c r="G658">
        <v>499</v>
      </c>
      <c r="H658" t="s">
        <v>12</v>
      </c>
      <c r="I658" t="s">
        <v>20</v>
      </c>
    </row>
    <row r="659" spans="1:9" x14ac:dyDescent="0.35">
      <c r="A659" t="s">
        <v>779</v>
      </c>
      <c r="B659" t="s">
        <v>331</v>
      </c>
      <c r="C659" t="s">
        <v>31</v>
      </c>
      <c r="D659" s="1">
        <v>45160</v>
      </c>
      <c r="E659">
        <v>757</v>
      </c>
      <c r="F659">
        <v>325</v>
      </c>
      <c r="G659">
        <v>432</v>
      </c>
      <c r="H659" t="s">
        <v>12</v>
      </c>
      <c r="I659" t="s">
        <v>20</v>
      </c>
    </row>
    <row r="660" spans="1:9" x14ac:dyDescent="0.35">
      <c r="A660" t="s">
        <v>780</v>
      </c>
      <c r="B660" t="s">
        <v>424</v>
      </c>
      <c r="C660" t="s">
        <v>16</v>
      </c>
      <c r="D660" s="1">
        <v>45179</v>
      </c>
      <c r="E660">
        <v>984</v>
      </c>
      <c r="F660">
        <v>343</v>
      </c>
      <c r="G660">
        <v>641</v>
      </c>
      <c r="H660" t="s">
        <v>12</v>
      </c>
      <c r="I660" t="s">
        <v>45</v>
      </c>
    </row>
    <row r="661" spans="1:9" x14ac:dyDescent="0.35">
      <c r="A661" t="s">
        <v>781</v>
      </c>
      <c r="B661" t="s">
        <v>59</v>
      </c>
      <c r="C661" t="s">
        <v>31</v>
      </c>
      <c r="D661" s="1">
        <v>45110</v>
      </c>
      <c r="E661">
        <v>210</v>
      </c>
      <c r="F661">
        <v>71</v>
      </c>
      <c r="G661">
        <v>139</v>
      </c>
      <c r="H661" t="s">
        <v>12</v>
      </c>
      <c r="I661" t="s">
        <v>20</v>
      </c>
    </row>
    <row r="662" spans="1:9" x14ac:dyDescent="0.35">
      <c r="A662" t="s">
        <v>782</v>
      </c>
      <c r="B662" t="s">
        <v>125</v>
      </c>
      <c r="C662" t="s">
        <v>23</v>
      </c>
      <c r="D662" s="1">
        <v>45226</v>
      </c>
      <c r="E662">
        <v>613</v>
      </c>
      <c r="F662">
        <v>580</v>
      </c>
      <c r="G662">
        <v>33</v>
      </c>
      <c r="H662" t="s">
        <v>12</v>
      </c>
      <c r="I662" t="s">
        <v>28</v>
      </c>
    </row>
    <row r="663" spans="1:9" x14ac:dyDescent="0.35">
      <c r="A663" t="s">
        <v>783</v>
      </c>
      <c r="B663" t="s">
        <v>259</v>
      </c>
      <c r="C663" t="s">
        <v>31</v>
      </c>
      <c r="D663" s="1">
        <v>44940</v>
      </c>
      <c r="E663">
        <v>592</v>
      </c>
      <c r="F663">
        <v>301</v>
      </c>
      <c r="G663">
        <v>291</v>
      </c>
      <c r="H663" t="s">
        <v>12</v>
      </c>
      <c r="I663" t="s">
        <v>13</v>
      </c>
    </row>
    <row r="664" spans="1:9" x14ac:dyDescent="0.35">
      <c r="A664" t="s">
        <v>784</v>
      </c>
      <c r="B664" t="s">
        <v>404</v>
      </c>
      <c r="C664" t="s">
        <v>11</v>
      </c>
      <c r="D664" s="1">
        <v>45367</v>
      </c>
      <c r="E664">
        <v>702</v>
      </c>
      <c r="F664">
        <v>436</v>
      </c>
      <c r="G664">
        <v>266</v>
      </c>
      <c r="H664" t="s">
        <v>12</v>
      </c>
      <c r="I664" t="s">
        <v>32</v>
      </c>
    </row>
    <row r="665" spans="1:9" x14ac:dyDescent="0.35">
      <c r="A665" t="s">
        <v>785</v>
      </c>
      <c r="B665" t="s">
        <v>159</v>
      </c>
      <c r="C665" t="s">
        <v>11</v>
      </c>
      <c r="D665" s="1">
        <v>45238</v>
      </c>
      <c r="E665">
        <v>329</v>
      </c>
      <c r="F665">
        <v>323</v>
      </c>
      <c r="G665">
        <v>6</v>
      </c>
      <c r="H665" t="s">
        <v>12</v>
      </c>
      <c r="I665" t="s">
        <v>24</v>
      </c>
    </row>
    <row r="666" spans="1:9" x14ac:dyDescent="0.35">
      <c r="A666" t="s">
        <v>786</v>
      </c>
      <c r="B666" t="s">
        <v>280</v>
      </c>
      <c r="C666" t="s">
        <v>19</v>
      </c>
      <c r="D666" s="1">
        <v>45489</v>
      </c>
      <c r="E666">
        <v>243</v>
      </c>
      <c r="F666">
        <v>228</v>
      </c>
      <c r="G666">
        <v>15</v>
      </c>
      <c r="H666" t="s">
        <v>12</v>
      </c>
      <c r="I666" t="s">
        <v>13</v>
      </c>
    </row>
    <row r="667" spans="1:9" x14ac:dyDescent="0.35">
      <c r="A667" t="s">
        <v>787</v>
      </c>
      <c r="B667" t="s">
        <v>38</v>
      </c>
      <c r="C667" t="s">
        <v>11</v>
      </c>
      <c r="D667" s="1">
        <v>45219</v>
      </c>
      <c r="E667">
        <v>942</v>
      </c>
      <c r="F667">
        <v>200</v>
      </c>
      <c r="G667">
        <v>742</v>
      </c>
      <c r="H667" t="s">
        <v>12</v>
      </c>
      <c r="I667" t="s">
        <v>13</v>
      </c>
    </row>
    <row r="668" spans="1:9" x14ac:dyDescent="0.35">
      <c r="A668" t="s">
        <v>788</v>
      </c>
      <c r="B668" t="s">
        <v>87</v>
      </c>
      <c r="C668" t="s">
        <v>23</v>
      </c>
      <c r="D668" s="1">
        <v>45233</v>
      </c>
      <c r="E668">
        <v>846</v>
      </c>
      <c r="F668">
        <v>305</v>
      </c>
      <c r="G668">
        <v>541</v>
      </c>
      <c r="H668" t="s">
        <v>12</v>
      </c>
      <c r="I668" t="s">
        <v>32</v>
      </c>
    </row>
    <row r="669" spans="1:9" x14ac:dyDescent="0.35">
      <c r="A669" t="s">
        <v>789</v>
      </c>
      <c r="B669" t="s">
        <v>130</v>
      </c>
      <c r="C669" t="s">
        <v>16</v>
      </c>
      <c r="D669" s="1">
        <v>45481</v>
      </c>
      <c r="E669">
        <v>922</v>
      </c>
      <c r="F669">
        <v>315</v>
      </c>
      <c r="G669">
        <v>607</v>
      </c>
      <c r="H669" t="s">
        <v>12</v>
      </c>
      <c r="I669" t="s">
        <v>32</v>
      </c>
    </row>
    <row r="670" spans="1:9" x14ac:dyDescent="0.35">
      <c r="A670" t="s">
        <v>790</v>
      </c>
      <c r="B670" t="s">
        <v>375</v>
      </c>
      <c r="C670" t="s">
        <v>23</v>
      </c>
      <c r="D670" s="1">
        <v>45358</v>
      </c>
      <c r="E670">
        <v>193</v>
      </c>
      <c r="F670">
        <v>130</v>
      </c>
      <c r="G670">
        <v>63</v>
      </c>
      <c r="H670" t="s">
        <v>12</v>
      </c>
      <c r="I670" t="s">
        <v>13</v>
      </c>
    </row>
    <row r="671" spans="1:9" x14ac:dyDescent="0.35">
      <c r="A671" t="s">
        <v>791</v>
      </c>
      <c r="B671" t="s">
        <v>132</v>
      </c>
      <c r="C671" t="s">
        <v>31</v>
      </c>
      <c r="D671" s="1">
        <v>45152</v>
      </c>
      <c r="E671">
        <v>651</v>
      </c>
      <c r="F671">
        <v>72</v>
      </c>
      <c r="G671">
        <v>579</v>
      </c>
      <c r="H671" t="s">
        <v>12</v>
      </c>
      <c r="I671" t="s">
        <v>32</v>
      </c>
    </row>
    <row r="672" spans="1:9" x14ac:dyDescent="0.35">
      <c r="A672" t="s">
        <v>792</v>
      </c>
      <c r="B672" t="s">
        <v>99</v>
      </c>
      <c r="C672" t="s">
        <v>11</v>
      </c>
      <c r="D672" s="1">
        <v>44935</v>
      </c>
      <c r="E672">
        <v>813</v>
      </c>
      <c r="F672">
        <v>765</v>
      </c>
      <c r="G672">
        <v>48</v>
      </c>
      <c r="H672" t="s">
        <v>12</v>
      </c>
      <c r="I672" t="s">
        <v>20</v>
      </c>
    </row>
    <row r="673" spans="1:9" x14ac:dyDescent="0.35">
      <c r="A673" t="s">
        <v>793</v>
      </c>
      <c r="B673" t="s">
        <v>83</v>
      </c>
      <c r="C673" t="s">
        <v>11</v>
      </c>
      <c r="D673" s="1">
        <v>45164</v>
      </c>
      <c r="E673">
        <v>114</v>
      </c>
      <c r="F673">
        <v>69</v>
      </c>
      <c r="G673">
        <v>45</v>
      </c>
      <c r="H673" t="s">
        <v>12</v>
      </c>
      <c r="I673" t="s">
        <v>28</v>
      </c>
    </row>
    <row r="674" spans="1:9" x14ac:dyDescent="0.35">
      <c r="A674" t="s">
        <v>794</v>
      </c>
      <c r="B674" t="s">
        <v>115</v>
      </c>
      <c r="C674" t="s">
        <v>27</v>
      </c>
      <c r="D674" s="1">
        <v>44979</v>
      </c>
      <c r="E674">
        <v>940</v>
      </c>
      <c r="F674">
        <v>203</v>
      </c>
      <c r="G674">
        <v>737</v>
      </c>
      <c r="H674" t="s">
        <v>12</v>
      </c>
      <c r="I674" t="s">
        <v>20</v>
      </c>
    </row>
    <row r="675" spans="1:9" x14ac:dyDescent="0.35">
      <c r="A675" t="s">
        <v>795</v>
      </c>
      <c r="B675" t="s">
        <v>175</v>
      </c>
      <c r="C675" t="s">
        <v>16</v>
      </c>
      <c r="D675" s="1">
        <v>45148</v>
      </c>
      <c r="E675">
        <v>218</v>
      </c>
      <c r="F675">
        <v>163</v>
      </c>
      <c r="G675">
        <v>55</v>
      </c>
      <c r="H675" t="s">
        <v>12</v>
      </c>
      <c r="I675" t="s">
        <v>45</v>
      </c>
    </row>
    <row r="676" spans="1:9" x14ac:dyDescent="0.35">
      <c r="A676" t="s">
        <v>796</v>
      </c>
      <c r="B676" t="s">
        <v>15</v>
      </c>
      <c r="C676" t="s">
        <v>11</v>
      </c>
      <c r="D676" s="1">
        <v>45170</v>
      </c>
      <c r="E676">
        <v>902</v>
      </c>
      <c r="F676">
        <v>435</v>
      </c>
      <c r="G676">
        <v>467</v>
      </c>
      <c r="H676" t="s">
        <v>12</v>
      </c>
      <c r="I676" t="s">
        <v>13</v>
      </c>
    </row>
    <row r="677" spans="1:9" x14ac:dyDescent="0.35">
      <c r="A677" t="s">
        <v>797</v>
      </c>
      <c r="B677" t="s">
        <v>132</v>
      </c>
      <c r="C677" t="s">
        <v>31</v>
      </c>
      <c r="D677" s="1">
        <v>45166</v>
      </c>
      <c r="E677">
        <v>466</v>
      </c>
      <c r="F677">
        <v>434</v>
      </c>
      <c r="G677">
        <v>32</v>
      </c>
      <c r="H677" t="s">
        <v>12</v>
      </c>
      <c r="I677" t="s">
        <v>24</v>
      </c>
    </row>
    <row r="678" spans="1:9" x14ac:dyDescent="0.35">
      <c r="A678" t="s">
        <v>798</v>
      </c>
      <c r="B678" t="s">
        <v>228</v>
      </c>
      <c r="C678" t="s">
        <v>16</v>
      </c>
      <c r="D678" s="1">
        <v>44974</v>
      </c>
      <c r="E678">
        <v>827</v>
      </c>
      <c r="F678">
        <v>624</v>
      </c>
      <c r="G678">
        <v>203</v>
      </c>
      <c r="H678" t="s">
        <v>12</v>
      </c>
      <c r="I678" t="s">
        <v>20</v>
      </c>
    </row>
    <row r="679" spans="1:9" x14ac:dyDescent="0.35">
      <c r="A679" t="s">
        <v>799</v>
      </c>
      <c r="B679" t="s">
        <v>50</v>
      </c>
      <c r="C679" t="s">
        <v>19</v>
      </c>
      <c r="D679" s="1">
        <v>45149</v>
      </c>
      <c r="E679">
        <v>298</v>
      </c>
      <c r="F679">
        <v>6</v>
      </c>
      <c r="G679">
        <v>292</v>
      </c>
      <c r="H679" t="s">
        <v>12</v>
      </c>
      <c r="I679" t="s">
        <v>24</v>
      </c>
    </row>
    <row r="680" spans="1:9" x14ac:dyDescent="0.35">
      <c r="A680" t="s">
        <v>800</v>
      </c>
      <c r="B680" t="s">
        <v>178</v>
      </c>
      <c r="C680" t="s">
        <v>27</v>
      </c>
      <c r="D680" s="1">
        <v>45411</v>
      </c>
      <c r="E680">
        <v>484</v>
      </c>
      <c r="F680">
        <v>364</v>
      </c>
      <c r="G680">
        <v>120</v>
      </c>
      <c r="H680" t="s">
        <v>12</v>
      </c>
      <c r="I680" t="s">
        <v>28</v>
      </c>
    </row>
    <row r="681" spans="1:9" x14ac:dyDescent="0.35">
      <c r="A681" t="s">
        <v>801</v>
      </c>
      <c r="B681" t="s">
        <v>125</v>
      </c>
      <c r="C681" t="s">
        <v>31</v>
      </c>
      <c r="D681" s="1">
        <v>45396</v>
      </c>
      <c r="E681">
        <v>164</v>
      </c>
      <c r="F681">
        <v>158</v>
      </c>
      <c r="G681">
        <v>6</v>
      </c>
      <c r="H681" t="s">
        <v>12</v>
      </c>
      <c r="I681" t="s">
        <v>13</v>
      </c>
    </row>
    <row r="682" spans="1:9" x14ac:dyDescent="0.35">
      <c r="A682" t="s">
        <v>802</v>
      </c>
      <c r="B682" t="s">
        <v>184</v>
      </c>
      <c r="C682" t="s">
        <v>16</v>
      </c>
      <c r="D682" s="1">
        <v>45316</v>
      </c>
      <c r="E682">
        <v>939</v>
      </c>
      <c r="F682">
        <v>469</v>
      </c>
      <c r="G682">
        <v>470</v>
      </c>
      <c r="H682" t="s">
        <v>12</v>
      </c>
      <c r="I682" t="s">
        <v>28</v>
      </c>
    </row>
    <row r="683" spans="1:9" x14ac:dyDescent="0.35">
      <c r="A683" t="s">
        <v>803</v>
      </c>
      <c r="B683" t="s">
        <v>178</v>
      </c>
      <c r="C683" t="s">
        <v>11</v>
      </c>
      <c r="D683" s="1">
        <v>45178</v>
      </c>
      <c r="E683">
        <v>852</v>
      </c>
      <c r="F683">
        <v>166</v>
      </c>
      <c r="G683">
        <v>686</v>
      </c>
      <c r="H683" t="s">
        <v>12</v>
      </c>
      <c r="I683" t="s">
        <v>32</v>
      </c>
    </row>
    <row r="684" spans="1:9" x14ac:dyDescent="0.35">
      <c r="A684" t="s">
        <v>804</v>
      </c>
      <c r="B684" t="s">
        <v>478</v>
      </c>
      <c r="C684" t="s">
        <v>16</v>
      </c>
      <c r="D684" s="1">
        <v>45067</v>
      </c>
      <c r="E684">
        <v>213</v>
      </c>
      <c r="F684">
        <v>176</v>
      </c>
      <c r="G684">
        <v>37</v>
      </c>
      <c r="H684" t="s">
        <v>12</v>
      </c>
      <c r="I684" t="s">
        <v>13</v>
      </c>
    </row>
    <row r="685" spans="1:9" x14ac:dyDescent="0.35">
      <c r="A685" t="s">
        <v>805</v>
      </c>
      <c r="B685" t="s">
        <v>202</v>
      </c>
      <c r="C685" t="s">
        <v>11</v>
      </c>
      <c r="D685" s="1">
        <v>45016</v>
      </c>
      <c r="E685">
        <v>639</v>
      </c>
      <c r="F685">
        <v>541</v>
      </c>
      <c r="G685">
        <v>98</v>
      </c>
      <c r="H685" t="s">
        <v>12</v>
      </c>
      <c r="I685" t="s">
        <v>45</v>
      </c>
    </row>
    <row r="686" spans="1:9" x14ac:dyDescent="0.35">
      <c r="A686" t="s">
        <v>806</v>
      </c>
      <c r="B686" t="s">
        <v>352</v>
      </c>
      <c r="C686" t="s">
        <v>16</v>
      </c>
      <c r="D686" s="1">
        <v>45076</v>
      </c>
      <c r="E686">
        <v>258</v>
      </c>
      <c r="F686">
        <v>39</v>
      </c>
      <c r="G686">
        <v>219</v>
      </c>
      <c r="H686" t="s">
        <v>12</v>
      </c>
      <c r="I686" t="s">
        <v>28</v>
      </c>
    </row>
    <row r="687" spans="1:9" x14ac:dyDescent="0.35">
      <c r="A687" t="s">
        <v>807</v>
      </c>
      <c r="B687" t="s">
        <v>143</v>
      </c>
      <c r="C687" t="s">
        <v>31</v>
      </c>
      <c r="D687" s="1">
        <v>45005</v>
      </c>
      <c r="E687">
        <v>946</v>
      </c>
      <c r="F687">
        <v>726</v>
      </c>
      <c r="G687">
        <v>220</v>
      </c>
      <c r="H687" t="s">
        <v>12</v>
      </c>
      <c r="I687" t="s">
        <v>45</v>
      </c>
    </row>
    <row r="688" spans="1:9" x14ac:dyDescent="0.35">
      <c r="A688" t="s">
        <v>808</v>
      </c>
      <c r="B688" t="s">
        <v>54</v>
      </c>
      <c r="C688" t="s">
        <v>27</v>
      </c>
      <c r="D688" s="1">
        <v>45492</v>
      </c>
      <c r="E688">
        <v>248</v>
      </c>
      <c r="F688">
        <v>42</v>
      </c>
      <c r="G688">
        <v>206</v>
      </c>
      <c r="H688" t="s">
        <v>12</v>
      </c>
      <c r="I688" t="s">
        <v>45</v>
      </c>
    </row>
    <row r="689" spans="1:9" x14ac:dyDescent="0.35">
      <c r="A689" t="s">
        <v>809</v>
      </c>
      <c r="B689" t="s">
        <v>36</v>
      </c>
      <c r="C689" t="s">
        <v>27</v>
      </c>
      <c r="D689" s="1">
        <v>45334</v>
      </c>
      <c r="E689">
        <v>597</v>
      </c>
      <c r="F689">
        <v>367</v>
      </c>
      <c r="G689">
        <v>230</v>
      </c>
      <c r="H689" t="s">
        <v>12</v>
      </c>
      <c r="I689" t="s">
        <v>13</v>
      </c>
    </row>
    <row r="690" spans="1:9" x14ac:dyDescent="0.35">
      <c r="A690" t="s">
        <v>810</v>
      </c>
      <c r="B690" t="s">
        <v>103</v>
      </c>
      <c r="C690" t="s">
        <v>11</v>
      </c>
      <c r="D690" s="1">
        <v>45407</v>
      </c>
      <c r="E690">
        <v>304</v>
      </c>
      <c r="F690">
        <v>197</v>
      </c>
      <c r="G690">
        <v>107</v>
      </c>
      <c r="H690" t="s">
        <v>12</v>
      </c>
      <c r="I690" t="s">
        <v>32</v>
      </c>
    </row>
    <row r="691" spans="1:9" x14ac:dyDescent="0.35">
      <c r="A691" t="s">
        <v>811</v>
      </c>
      <c r="B691" t="s">
        <v>400</v>
      </c>
      <c r="C691" t="s">
        <v>19</v>
      </c>
      <c r="D691" s="1">
        <v>45038</v>
      </c>
      <c r="E691">
        <v>841</v>
      </c>
      <c r="F691">
        <v>637</v>
      </c>
      <c r="G691">
        <v>204</v>
      </c>
      <c r="H691" t="s">
        <v>12</v>
      </c>
      <c r="I691" t="s">
        <v>45</v>
      </c>
    </row>
    <row r="692" spans="1:9" x14ac:dyDescent="0.35">
      <c r="A692" t="s">
        <v>812</v>
      </c>
      <c r="B692" t="s">
        <v>80</v>
      </c>
      <c r="C692" t="s">
        <v>11</v>
      </c>
      <c r="D692" s="1">
        <v>45156</v>
      </c>
      <c r="E692">
        <v>731</v>
      </c>
      <c r="F692">
        <v>676</v>
      </c>
      <c r="G692">
        <v>55</v>
      </c>
      <c r="H692" t="s">
        <v>12</v>
      </c>
      <c r="I692" t="s">
        <v>45</v>
      </c>
    </row>
    <row r="693" spans="1:9" x14ac:dyDescent="0.35">
      <c r="A693" t="s">
        <v>813</v>
      </c>
      <c r="B693" t="s">
        <v>214</v>
      </c>
      <c r="C693" t="s">
        <v>27</v>
      </c>
      <c r="D693" s="1">
        <v>45068</v>
      </c>
      <c r="E693">
        <v>283</v>
      </c>
      <c r="F693">
        <v>140</v>
      </c>
      <c r="G693">
        <v>143</v>
      </c>
      <c r="H693" t="s">
        <v>12</v>
      </c>
      <c r="I693" t="s">
        <v>24</v>
      </c>
    </row>
    <row r="694" spans="1:9" x14ac:dyDescent="0.35">
      <c r="A694" t="s">
        <v>814</v>
      </c>
      <c r="B694" t="s">
        <v>157</v>
      </c>
      <c r="C694" t="s">
        <v>31</v>
      </c>
      <c r="D694" s="1">
        <v>45464</v>
      </c>
      <c r="E694">
        <v>570</v>
      </c>
      <c r="F694">
        <v>321</v>
      </c>
      <c r="G694">
        <v>249</v>
      </c>
      <c r="H694" t="s">
        <v>12</v>
      </c>
      <c r="I694" t="s">
        <v>28</v>
      </c>
    </row>
    <row r="695" spans="1:9" x14ac:dyDescent="0.35">
      <c r="A695" t="s">
        <v>815</v>
      </c>
      <c r="B695" t="s">
        <v>36</v>
      </c>
      <c r="C695" t="s">
        <v>27</v>
      </c>
      <c r="D695" s="1">
        <v>45180</v>
      </c>
      <c r="E695">
        <v>476</v>
      </c>
      <c r="F695">
        <v>212</v>
      </c>
      <c r="G695">
        <v>264</v>
      </c>
      <c r="H695" t="s">
        <v>12</v>
      </c>
      <c r="I695" t="s">
        <v>28</v>
      </c>
    </row>
    <row r="696" spans="1:9" x14ac:dyDescent="0.35">
      <c r="A696" t="s">
        <v>816</v>
      </c>
      <c r="B696" t="s">
        <v>130</v>
      </c>
      <c r="C696" t="s">
        <v>31</v>
      </c>
      <c r="D696" s="1">
        <v>44952</v>
      </c>
      <c r="E696">
        <v>231</v>
      </c>
      <c r="F696">
        <v>170</v>
      </c>
      <c r="G696">
        <v>61</v>
      </c>
      <c r="H696" t="s">
        <v>12</v>
      </c>
      <c r="I696" t="s">
        <v>32</v>
      </c>
    </row>
    <row r="697" spans="1:9" x14ac:dyDescent="0.35">
      <c r="A697" t="s">
        <v>817</v>
      </c>
      <c r="B697" t="s">
        <v>132</v>
      </c>
      <c r="C697" t="s">
        <v>23</v>
      </c>
      <c r="D697" s="1">
        <v>45124</v>
      </c>
      <c r="E697">
        <v>920</v>
      </c>
      <c r="F697">
        <v>766</v>
      </c>
      <c r="G697">
        <v>154</v>
      </c>
      <c r="H697" t="s">
        <v>12</v>
      </c>
      <c r="I697" t="s">
        <v>28</v>
      </c>
    </row>
    <row r="698" spans="1:9" x14ac:dyDescent="0.35">
      <c r="A698" t="s">
        <v>818</v>
      </c>
      <c r="B698" t="s">
        <v>186</v>
      </c>
      <c r="C698" t="s">
        <v>27</v>
      </c>
      <c r="D698" s="1">
        <v>45034</v>
      </c>
      <c r="E698">
        <v>515</v>
      </c>
      <c r="F698">
        <v>169</v>
      </c>
      <c r="G698">
        <v>346</v>
      </c>
      <c r="H698" t="s">
        <v>12</v>
      </c>
      <c r="I698" t="s">
        <v>28</v>
      </c>
    </row>
    <row r="699" spans="1:9" x14ac:dyDescent="0.35">
      <c r="A699" t="s">
        <v>819</v>
      </c>
      <c r="B699" t="s">
        <v>276</v>
      </c>
      <c r="C699" t="s">
        <v>31</v>
      </c>
      <c r="D699" s="1">
        <v>45268</v>
      </c>
      <c r="E699">
        <v>251</v>
      </c>
      <c r="F699">
        <v>149</v>
      </c>
      <c r="G699">
        <v>102</v>
      </c>
      <c r="H699" t="s">
        <v>12</v>
      </c>
      <c r="I699" t="s">
        <v>24</v>
      </c>
    </row>
    <row r="700" spans="1:9" x14ac:dyDescent="0.35">
      <c r="A700" t="s">
        <v>820</v>
      </c>
      <c r="B700" t="s">
        <v>36</v>
      </c>
      <c r="C700" t="s">
        <v>31</v>
      </c>
      <c r="D700" s="1">
        <v>45364</v>
      </c>
      <c r="E700">
        <v>357</v>
      </c>
      <c r="F700">
        <v>297</v>
      </c>
      <c r="G700">
        <v>60</v>
      </c>
      <c r="H700" t="s">
        <v>12</v>
      </c>
      <c r="I700" t="s">
        <v>45</v>
      </c>
    </row>
    <row r="701" spans="1:9" x14ac:dyDescent="0.35">
      <c r="A701" t="s">
        <v>821</v>
      </c>
      <c r="B701" t="s">
        <v>404</v>
      </c>
      <c r="C701" t="s">
        <v>31</v>
      </c>
      <c r="D701" s="1">
        <v>45245</v>
      </c>
      <c r="E701">
        <v>174</v>
      </c>
      <c r="F701">
        <v>130</v>
      </c>
      <c r="G701">
        <v>44</v>
      </c>
      <c r="H701" t="s">
        <v>12</v>
      </c>
      <c r="I701" t="s">
        <v>20</v>
      </c>
    </row>
    <row r="702" spans="1:9" x14ac:dyDescent="0.35">
      <c r="A702" t="s">
        <v>822</v>
      </c>
      <c r="B702" t="s">
        <v>140</v>
      </c>
      <c r="C702" t="s">
        <v>27</v>
      </c>
      <c r="D702" s="1">
        <v>45250</v>
      </c>
      <c r="E702">
        <v>626</v>
      </c>
      <c r="F702">
        <v>122</v>
      </c>
      <c r="G702">
        <v>504</v>
      </c>
      <c r="H702" t="s">
        <v>12</v>
      </c>
      <c r="I702" t="s">
        <v>24</v>
      </c>
    </row>
    <row r="703" spans="1:9" x14ac:dyDescent="0.35">
      <c r="A703" t="s">
        <v>823</v>
      </c>
      <c r="B703" t="s">
        <v>132</v>
      </c>
      <c r="C703" t="s">
        <v>11</v>
      </c>
      <c r="D703" s="1">
        <v>45082</v>
      </c>
      <c r="E703">
        <v>632</v>
      </c>
      <c r="F703">
        <v>336</v>
      </c>
      <c r="G703">
        <v>296</v>
      </c>
      <c r="H703" t="s">
        <v>12</v>
      </c>
      <c r="I703" t="s">
        <v>32</v>
      </c>
    </row>
    <row r="704" spans="1:9" x14ac:dyDescent="0.35">
      <c r="A704" t="s">
        <v>824</v>
      </c>
      <c r="B704" t="s">
        <v>56</v>
      </c>
      <c r="C704" t="s">
        <v>16</v>
      </c>
      <c r="D704" s="1">
        <v>45402</v>
      </c>
      <c r="E704">
        <v>975</v>
      </c>
      <c r="F704">
        <v>598</v>
      </c>
      <c r="G704">
        <v>377</v>
      </c>
      <c r="H704" t="s">
        <v>12</v>
      </c>
      <c r="I704" t="s">
        <v>32</v>
      </c>
    </row>
    <row r="705" spans="1:9" x14ac:dyDescent="0.35">
      <c r="A705" t="s">
        <v>825</v>
      </c>
      <c r="B705" t="s">
        <v>80</v>
      </c>
      <c r="C705" t="s">
        <v>27</v>
      </c>
      <c r="D705" s="1">
        <v>45324</v>
      </c>
      <c r="E705">
        <v>105</v>
      </c>
      <c r="F705">
        <v>44</v>
      </c>
      <c r="G705">
        <v>61</v>
      </c>
      <c r="H705" t="s">
        <v>12</v>
      </c>
      <c r="I705" t="s">
        <v>13</v>
      </c>
    </row>
    <row r="706" spans="1:9" x14ac:dyDescent="0.35">
      <c r="A706" t="s">
        <v>826</v>
      </c>
      <c r="B706" t="s">
        <v>357</v>
      </c>
      <c r="C706" t="s">
        <v>27</v>
      </c>
      <c r="D706" s="1">
        <v>45205</v>
      </c>
      <c r="E706">
        <v>217</v>
      </c>
      <c r="F706">
        <v>172</v>
      </c>
      <c r="G706">
        <v>45</v>
      </c>
      <c r="H706" t="s">
        <v>12</v>
      </c>
      <c r="I706" t="s">
        <v>20</v>
      </c>
    </row>
    <row r="707" spans="1:9" x14ac:dyDescent="0.35">
      <c r="A707" t="s">
        <v>827</v>
      </c>
      <c r="B707" t="s">
        <v>113</v>
      </c>
      <c r="C707" t="s">
        <v>27</v>
      </c>
      <c r="D707" s="1">
        <v>45269</v>
      </c>
      <c r="E707">
        <v>385</v>
      </c>
      <c r="F707">
        <v>75</v>
      </c>
      <c r="G707">
        <v>310</v>
      </c>
      <c r="H707" t="s">
        <v>12</v>
      </c>
      <c r="I707" t="s">
        <v>20</v>
      </c>
    </row>
    <row r="708" spans="1:9" x14ac:dyDescent="0.35">
      <c r="A708" t="s">
        <v>828</v>
      </c>
      <c r="B708" t="s">
        <v>34</v>
      </c>
      <c r="C708" t="s">
        <v>31</v>
      </c>
      <c r="D708" s="1">
        <v>44958</v>
      </c>
      <c r="E708">
        <v>230</v>
      </c>
      <c r="F708">
        <v>16</v>
      </c>
      <c r="G708">
        <v>214</v>
      </c>
      <c r="H708" t="s">
        <v>12</v>
      </c>
      <c r="I708" t="s">
        <v>13</v>
      </c>
    </row>
    <row r="709" spans="1:9" x14ac:dyDescent="0.35">
      <c r="A709" t="s">
        <v>829</v>
      </c>
      <c r="B709" t="s">
        <v>70</v>
      </c>
      <c r="C709" t="s">
        <v>19</v>
      </c>
      <c r="D709" s="1">
        <v>45043</v>
      </c>
      <c r="E709">
        <v>355</v>
      </c>
      <c r="F709">
        <v>290</v>
      </c>
      <c r="G709">
        <v>65</v>
      </c>
      <c r="H709" t="s">
        <v>12</v>
      </c>
      <c r="I709" t="s">
        <v>20</v>
      </c>
    </row>
    <row r="710" spans="1:9" x14ac:dyDescent="0.35">
      <c r="A710" t="s">
        <v>830</v>
      </c>
      <c r="B710" t="s">
        <v>63</v>
      </c>
      <c r="C710" t="s">
        <v>19</v>
      </c>
      <c r="D710" s="1">
        <v>45423</v>
      </c>
      <c r="E710">
        <v>574</v>
      </c>
      <c r="F710">
        <v>252</v>
      </c>
      <c r="G710">
        <v>322</v>
      </c>
      <c r="H710" t="s">
        <v>12</v>
      </c>
      <c r="I710" t="s">
        <v>32</v>
      </c>
    </row>
    <row r="711" spans="1:9" x14ac:dyDescent="0.35">
      <c r="A711" t="s">
        <v>831</v>
      </c>
      <c r="B711" t="s">
        <v>265</v>
      </c>
      <c r="C711" t="s">
        <v>31</v>
      </c>
      <c r="D711" s="1">
        <v>44977</v>
      </c>
      <c r="E711">
        <v>940</v>
      </c>
      <c r="F711">
        <v>30</v>
      </c>
      <c r="G711">
        <v>910</v>
      </c>
      <c r="H711" t="s">
        <v>12</v>
      </c>
      <c r="I711" t="s">
        <v>24</v>
      </c>
    </row>
    <row r="712" spans="1:9" x14ac:dyDescent="0.35">
      <c r="A712" t="s">
        <v>832</v>
      </c>
      <c r="B712" t="s">
        <v>384</v>
      </c>
      <c r="C712" t="s">
        <v>27</v>
      </c>
      <c r="D712" s="1">
        <v>45276</v>
      </c>
      <c r="E712">
        <v>417</v>
      </c>
      <c r="F712">
        <v>293</v>
      </c>
      <c r="G712">
        <v>124</v>
      </c>
      <c r="H712" t="s">
        <v>12</v>
      </c>
      <c r="I712" t="s">
        <v>32</v>
      </c>
    </row>
    <row r="713" spans="1:9" x14ac:dyDescent="0.35">
      <c r="A713" t="s">
        <v>833</v>
      </c>
      <c r="B713" t="s">
        <v>150</v>
      </c>
      <c r="C713" t="s">
        <v>16</v>
      </c>
      <c r="D713" s="1">
        <v>45273</v>
      </c>
      <c r="E713">
        <v>845</v>
      </c>
      <c r="F713">
        <v>463</v>
      </c>
      <c r="G713">
        <v>382</v>
      </c>
      <c r="H713" t="s">
        <v>12</v>
      </c>
      <c r="I713" t="s">
        <v>32</v>
      </c>
    </row>
    <row r="714" spans="1:9" x14ac:dyDescent="0.35">
      <c r="A714" t="s">
        <v>834</v>
      </c>
      <c r="B714" t="s">
        <v>89</v>
      </c>
      <c r="C714" t="s">
        <v>19</v>
      </c>
      <c r="D714" s="1">
        <v>45289</v>
      </c>
      <c r="E714">
        <v>373</v>
      </c>
      <c r="F714">
        <v>307</v>
      </c>
      <c r="G714">
        <v>66</v>
      </c>
      <c r="H714" t="s">
        <v>12</v>
      </c>
      <c r="I714" t="s">
        <v>20</v>
      </c>
    </row>
    <row r="715" spans="1:9" x14ac:dyDescent="0.35">
      <c r="A715" t="s">
        <v>835</v>
      </c>
      <c r="B715" t="s">
        <v>127</v>
      </c>
      <c r="C715" t="s">
        <v>23</v>
      </c>
      <c r="D715" s="1">
        <v>45510</v>
      </c>
      <c r="E715">
        <v>561</v>
      </c>
      <c r="F715">
        <v>216</v>
      </c>
      <c r="G715">
        <v>345</v>
      </c>
      <c r="H715" t="s">
        <v>12</v>
      </c>
      <c r="I715" t="s">
        <v>32</v>
      </c>
    </row>
    <row r="716" spans="1:9" x14ac:dyDescent="0.35">
      <c r="A716" t="s">
        <v>836</v>
      </c>
      <c r="B716" t="s">
        <v>469</v>
      </c>
      <c r="C716" t="s">
        <v>31</v>
      </c>
      <c r="D716" s="1">
        <v>45075</v>
      </c>
      <c r="E716">
        <v>964</v>
      </c>
      <c r="F716">
        <v>642</v>
      </c>
      <c r="G716">
        <v>322</v>
      </c>
      <c r="H716" t="s">
        <v>12</v>
      </c>
      <c r="I716" t="s">
        <v>28</v>
      </c>
    </row>
    <row r="717" spans="1:9" x14ac:dyDescent="0.35">
      <c r="A717" t="s">
        <v>837</v>
      </c>
      <c r="B717" t="s">
        <v>189</v>
      </c>
      <c r="C717" t="s">
        <v>27</v>
      </c>
      <c r="D717" s="1">
        <v>45272</v>
      </c>
      <c r="E717">
        <v>455</v>
      </c>
      <c r="F717">
        <v>81</v>
      </c>
      <c r="G717">
        <v>374</v>
      </c>
      <c r="H717" t="s">
        <v>12</v>
      </c>
      <c r="I717" t="s">
        <v>45</v>
      </c>
    </row>
    <row r="718" spans="1:9" x14ac:dyDescent="0.35">
      <c r="A718" t="s">
        <v>838</v>
      </c>
      <c r="B718" t="s">
        <v>96</v>
      </c>
      <c r="C718" t="s">
        <v>23</v>
      </c>
      <c r="D718" s="1">
        <v>44993</v>
      </c>
      <c r="E718">
        <v>853</v>
      </c>
      <c r="F718">
        <v>340</v>
      </c>
      <c r="G718">
        <v>513</v>
      </c>
      <c r="H718" t="s">
        <v>12</v>
      </c>
      <c r="I718" t="s">
        <v>45</v>
      </c>
    </row>
    <row r="719" spans="1:9" x14ac:dyDescent="0.35">
      <c r="A719" t="s">
        <v>839</v>
      </c>
      <c r="B719" t="s">
        <v>59</v>
      </c>
      <c r="C719" t="s">
        <v>19</v>
      </c>
      <c r="D719" s="1">
        <v>44984</v>
      </c>
      <c r="E719">
        <v>927</v>
      </c>
      <c r="F719">
        <v>193</v>
      </c>
      <c r="G719">
        <v>734</v>
      </c>
      <c r="H719" t="s">
        <v>12</v>
      </c>
      <c r="I719" t="s">
        <v>32</v>
      </c>
    </row>
    <row r="720" spans="1:9" x14ac:dyDescent="0.35">
      <c r="A720" t="s">
        <v>840</v>
      </c>
      <c r="B720" t="s">
        <v>202</v>
      </c>
      <c r="C720" t="s">
        <v>23</v>
      </c>
      <c r="D720" s="1">
        <v>45263</v>
      </c>
      <c r="E720">
        <v>855</v>
      </c>
      <c r="F720">
        <v>50</v>
      </c>
      <c r="G720">
        <v>805</v>
      </c>
      <c r="H720" t="s">
        <v>12</v>
      </c>
      <c r="I720" t="s">
        <v>45</v>
      </c>
    </row>
    <row r="721" spans="1:9" x14ac:dyDescent="0.35">
      <c r="A721" t="s">
        <v>841</v>
      </c>
      <c r="B721" t="s">
        <v>301</v>
      </c>
      <c r="C721" t="s">
        <v>31</v>
      </c>
      <c r="D721" s="1">
        <v>45515</v>
      </c>
      <c r="E721">
        <v>841</v>
      </c>
      <c r="F721">
        <v>8</v>
      </c>
      <c r="G721">
        <v>833</v>
      </c>
      <c r="H721" t="s">
        <v>12</v>
      </c>
      <c r="I721" t="s">
        <v>45</v>
      </c>
    </row>
    <row r="722" spans="1:9" x14ac:dyDescent="0.35">
      <c r="A722" t="s">
        <v>842</v>
      </c>
      <c r="B722" t="s">
        <v>288</v>
      </c>
      <c r="C722" t="s">
        <v>16</v>
      </c>
      <c r="D722" s="1">
        <v>45448</v>
      </c>
      <c r="E722">
        <v>342</v>
      </c>
      <c r="F722">
        <v>107</v>
      </c>
      <c r="G722">
        <v>235</v>
      </c>
      <c r="H722" t="s">
        <v>12</v>
      </c>
      <c r="I722" t="s">
        <v>20</v>
      </c>
    </row>
    <row r="723" spans="1:9" x14ac:dyDescent="0.35">
      <c r="A723" t="s">
        <v>843</v>
      </c>
      <c r="B723" t="s">
        <v>22</v>
      </c>
      <c r="C723" t="s">
        <v>23</v>
      </c>
      <c r="D723" s="1">
        <v>45338</v>
      </c>
      <c r="E723">
        <v>496</v>
      </c>
      <c r="F723">
        <v>193</v>
      </c>
      <c r="G723">
        <v>303</v>
      </c>
      <c r="H723" t="s">
        <v>12</v>
      </c>
      <c r="I723" t="s">
        <v>20</v>
      </c>
    </row>
    <row r="724" spans="1:9" x14ac:dyDescent="0.35">
      <c r="A724" t="s">
        <v>844</v>
      </c>
      <c r="B724" t="s">
        <v>301</v>
      </c>
      <c r="C724" t="s">
        <v>16</v>
      </c>
      <c r="D724" s="1">
        <v>45246</v>
      </c>
      <c r="E724">
        <v>476</v>
      </c>
      <c r="F724">
        <v>93</v>
      </c>
      <c r="G724">
        <v>383</v>
      </c>
      <c r="H724" t="s">
        <v>12</v>
      </c>
      <c r="I724" t="s">
        <v>28</v>
      </c>
    </row>
    <row r="725" spans="1:9" x14ac:dyDescent="0.35">
      <c r="A725" t="s">
        <v>845</v>
      </c>
      <c r="B725" t="s">
        <v>26</v>
      </c>
      <c r="C725" t="s">
        <v>27</v>
      </c>
      <c r="D725" s="1">
        <v>45255</v>
      </c>
      <c r="E725">
        <v>641</v>
      </c>
      <c r="F725">
        <v>268</v>
      </c>
      <c r="G725">
        <v>373</v>
      </c>
      <c r="H725" t="s">
        <v>12</v>
      </c>
      <c r="I725" t="s">
        <v>24</v>
      </c>
    </row>
    <row r="726" spans="1:9" x14ac:dyDescent="0.35">
      <c r="A726" t="s">
        <v>846</v>
      </c>
      <c r="B726" t="s">
        <v>132</v>
      </c>
      <c r="C726" t="s">
        <v>31</v>
      </c>
      <c r="D726" s="1">
        <v>45440</v>
      </c>
      <c r="E726">
        <v>187</v>
      </c>
      <c r="F726">
        <v>92</v>
      </c>
      <c r="G726">
        <v>95</v>
      </c>
      <c r="H726" t="s">
        <v>12</v>
      </c>
      <c r="I726" t="s">
        <v>13</v>
      </c>
    </row>
    <row r="727" spans="1:9" x14ac:dyDescent="0.35">
      <c r="A727" t="s">
        <v>847</v>
      </c>
      <c r="B727" t="s">
        <v>138</v>
      </c>
      <c r="C727" t="s">
        <v>11</v>
      </c>
      <c r="D727" s="1">
        <v>45108</v>
      </c>
      <c r="E727">
        <v>465</v>
      </c>
      <c r="F727">
        <v>43</v>
      </c>
      <c r="G727">
        <v>422</v>
      </c>
      <c r="H727" t="s">
        <v>12</v>
      </c>
      <c r="I727" t="s">
        <v>45</v>
      </c>
    </row>
    <row r="728" spans="1:9" x14ac:dyDescent="0.35">
      <c r="A728" t="s">
        <v>848</v>
      </c>
      <c r="B728" t="s">
        <v>59</v>
      </c>
      <c r="C728" t="s">
        <v>27</v>
      </c>
      <c r="D728" s="1">
        <v>44991</v>
      </c>
      <c r="E728">
        <v>667</v>
      </c>
      <c r="F728">
        <v>70</v>
      </c>
      <c r="G728">
        <v>597</v>
      </c>
      <c r="H728" t="s">
        <v>12</v>
      </c>
      <c r="I728" t="s">
        <v>32</v>
      </c>
    </row>
    <row r="729" spans="1:9" x14ac:dyDescent="0.35">
      <c r="A729" t="s">
        <v>849</v>
      </c>
      <c r="B729" t="s">
        <v>72</v>
      </c>
      <c r="C729" t="s">
        <v>11</v>
      </c>
      <c r="D729" s="1">
        <v>45065</v>
      </c>
      <c r="E729">
        <v>823</v>
      </c>
      <c r="F729">
        <v>460</v>
      </c>
      <c r="G729">
        <v>363</v>
      </c>
      <c r="H729" t="s">
        <v>12</v>
      </c>
      <c r="I729" t="s">
        <v>28</v>
      </c>
    </row>
    <row r="730" spans="1:9" x14ac:dyDescent="0.35">
      <c r="A730" t="s">
        <v>850</v>
      </c>
      <c r="B730" t="s">
        <v>36</v>
      </c>
      <c r="C730" t="s">
        <v>16</v>
      </c>
      <c r="D730" s="1">
        <v>45450</v>
      </c>
      <c r="E730">
        <v>661</v>
      </c>
      <c r="F730">
        <v>388</v>
      </c>
      <c r="G730">
        <v>273</v>
      </c>
      <c r="H730" t="s">
        <v>12</v>
      </c>
      <c r="I730" t="s">
        <v>32</v>
      </c>
    </row>
    <row r="731" spans="1:9" x14ac:dyDescent="0.35">
      <c r="A731" t="s">
        <v>851</v>
      </c>
      <c r="B731" t="s">
        <v>48</v>
      </c>
      <c r="C731" t="s">
        <v>11</v>
      </c>
      <c r="D731" s="1">
        <v>44968</v>
      </c>
      <c r="E731">
        <v>407</v>
      </c>
      <c r="F731">
        <v>303</v>
      </c>
      <c r="G731">
        <v>104</v>
      </c>
      <c r="H731" t="s">
        <v>12</v>
      </c>
      <c r="I731" t="s">
        <v>32</v>
      </c>
    </row>
    <row r="732" spans="1:9" x14ac:dyDescent="0.35">
      <c r="A732" t="s">
        <v>852</v>
      </c>
      <c r="B732" t="s">
        <v>140</v>
      </c>
      <c r="C732" t="s">
        <v>23</v>
      </c>
      <c r="D732" s="1">
        <v>45303</v>
      </c>
      <c r="E732">
        <v>750</v>
      </c>
      <c r="F732">
        <v>484</v>
      </c>
      <c r="G732">
        <v>266</v>
      </c>
      <c r="H732" t="s">
        <v>12</v>
      </c>
      <c r="I732" t="s">
        <v>24</v>
      </c>
    </row>
    <row r="733" spans="1:9" x14ac:dyDescent="0.35">
      <c r="A733" t="s">
        <v>853</v>
      </c>
      <c r="B733" t="s">
        <v>159</v>
      </c>
      <c r="C733" t="s">
        <v>11</v>
      </c>
      <c r="D733" s="1">
        <v>45101</v>
      </c>
      <c r="E733">
        <v>984</v>
      </c>
      <c r="F733">
        <v>819</v>
      </c>
      <c r="G733">
        <v>165</v>
      </c>
      <c r="H733" t="s">
        <v>12</v>
      </c>
      <c r="I733" t="s">
        <v>13</v>
      </c>
    </row>
    <row r="734" spans="1:9" x14ac:dyDescent="0.35">
      <c r="A734" t="s">
        <v>854</v>
      </c>
      <c r="B734" t="s">
        <v>175</v>
      </c>
      <c r="C734" t="s">
        <v>19</v>
      </c>
      <c r="D734" s="1">
        <v>45519</v>
      </c>
      <c r="E734">
        <v>419</v>
      </c>
      <c r="F734">
        <v>252</v>
      </c>
      <c r="G734">
        <v>167</v>
      </c>
      <c r="H734" t="s">
        <v>12</v>
      </c>
      <c r="I734" t="s">
        <v>13</v>
      </c>
    </row>
    <row r="735" spans="1:9" x14ac:dyDescent="0.35">
      <c r="A735" t="s">
        <v>855</v>
      </c>
      <c r="B735" t="s">
        <v>357</v>
      </c>
      <c r="C735" t="s">
        <v>16</v>
      </c>
      <c r="D735" s="1">
        <v>45091</v>
      </c>
      <c r="E735">
        <v>510</v>
      </c>
      <c r="F735">
        <v>291</v>
      </c>
      <c r="G735">
        <v>219</v>
      </c>
      <c r="H735" t="s">
        <v>12</v>
      </c>
      <c r="I735" t="s">
        <v>24</v>
      </c>
    </row>
    <row r="736" spans="1:9" x14ac:dyDescent="0.35">
      <c r="A736" t="s">
        <v>856</v>
      </c>
      <c r="B736" t="s">
        <v>15</v>
      </c>
      <c r="C736" t="s">
        <v>23</v>
      </c>
      <c r="D736" s="1">
        <v>45121</v>
      </c>
      <c r="E736">
        <v>762</v>
      </c>
      <c r="F736">
        <v>567</v>
      </c>
      <c r="G736">
        <v>195</v>
      </c>
      <c r="H736" t="s">
        <v>12</v>
      </c>
      <c r="I736" t="s">
        <v>28</v>
      </c>
    </row>
    <row r="737" spans="1:9" x14ac:dyDescent="0.35">
      <c r="A737" t="s">
        <v>857</v>
      </c>
      <c r="B737" t="s">
        <v>276</v>
      </c>
      <c r="C737" t="s">
        <v>27</v>
      </c>
      <c r="D737" s="1">
        <v>45422</v>
      </c>
      <c r="E737">
        <v>845</v>
      </c>
      <c r="F737">
        <v>104</v>
      </c>
      <c r="G737">
        <v>741</v>
      </c>
      <c r="H737" t="s">
        <v>12</v>
      </c>
      <c r="I737" t="s">
        <v>28</v>
      </c>
    </row>
    <row r="738" spans="1:9" x14ac:dyDescent="0.35">
      <c r="A738" t="s">
        <v>858</v>
      </c>
      <c r="B738" t="s">
        <v>280</v>
      </c>
      <c r="C738" t="s">
        <v>23</v>
      </c>
      <c r="D738" s="1">
        <v>45081</v>
      </c>
      <c r="E738">
        <v>646</v>
      </c>
      <c r="F738">
        <v>175</v>
      </c>
      <c r="G738">
        <v>471</v>
      </c>
      <c r="H738" t="s">
        <v>12</v>
      </c>
      <c r="I738" t="s">
        <v>24</v>
      </c>
    </row>
    <row r="739" spans="1:9" x14ac:dyDescent="0.35">
      <c r="A739" t="s">
        <v>859</v>
      </c>
      <c r="B739" t="s">
        <v>150</v>
      </c>
      <c r="C739" t="s">
        <v>11</v>
      </c>
      <c r="D739" s="1">
        <v>45158</v>
      </c>
      <c r="E739">
        <v>186</v>
      </c>
      <c r="F739">
        <v>161</v>
      </c>
      <c r="G739">
        <v>25</v>
      </c>
      <c r="H739" t="s">
        <v>12</v>
      </c>
      <c r="I739" t="s">
        <v>28</v>
      </c>
    </row>
    <row r="740" spans="1:9" x14ac:dyDescent="0.35">
      <c r="A740" t="s">
        <v>860</v>
      </c>
      <c r="B740" t="s">
        <v>96</v>
      </c>
      <c r="C740" t="s">
        <v>16</v>
      </c>
      <c r="D740" s="1">
        <v>45297</v>
      </c>
      <c r="E740">
        <v>846</v>
      </c>
      <c r="F740">
        <v>521</v>
      </c>
      <c r="G740">
        <v>325</v>
      </c>
      <c r="H740" t="s">
        <v>12</v>
      </c>
      <c r="I740" t="s">
        <v>28</v>
      </c>
    </row>
    <row r="741" spans="1:9" x14ac:dyDescent="0.35">
      <c r="A741" t="s">
        <v>861</v>
      </c>
      <c r="B741" t="s">
        <v>132</v>
      </c>
      <c r="C741" t="s">
        <v>11</v>
      </c>
      <c r="D741" s="1">
        <v>45201</v>
      </c>
      <c r="E741">
        <v>742</v>
      </c>
      <c r="F741">
        <v>106</v>
      </c>
      <c r="G741">
        <v>636</v>
      </c>
      <c r="H741" t="s">
        <v>12</v>
      </c>
      <c r="I741" t="s">
        <v>28</v>
      </c>
    </row>
    <row r="742" spans="1:9" x14ac:dyDescent="0.35">
      <c r="A742" t="s">
        <v>862</v>
      </c>
      <c r="B742" t="s">
        <v>40</v>
      </c>
      <c r="C742" t="s">
        <v>16</v>
      </c>
      <c r="D742" s="1">
        <v>44937</v>
      </c>
      <c r="E742">
        <v>297</v>
      </c>
      <c r="F742">
        <v>22</v>
      </c>
      <c r="G742">
        <v>275</v>
      </c>
      <c r="H742" t="s">
        <v>12</v>
      </c>
      <c r="I742" t="s">
        <v>24</v>
      </c>
    </row>
    <row r="743" spans="1:9" x14ac:dyDescent="0.35">
      <c r="A743" t="s">
        <v>863</v>
      </c>
      <c r="B743" t="s">
        <v>150</v>
      </c>
      <c r="C743" t="s">
        <v>16</v>
      </c>
      <c r="D743" s="1">
        <v>45347</v>
      </c>
      <c r="E743">
        <v>298</v>
      </c>
      <c r="F743">
        <v>72</v>
      </c>
      <c r="G743">
        <v>226</v>
      </c>
      <c r="H743" t="s">
        <v>12</v>
      </c>
      <c r="I743" t="s">
        <v>24</v>
      </c>
    </row>
    <row r="744" spans="1:9" x14ac:dyDescent="0.35">
      <c r="A744" t="s">
        <v>864</v>
      </c>
      <c r="B744" t="s">
        <v>56</v>
      </c>
      <c r="C744" t="s">
        <v>27</v>
      </c>
      <c r="D744" s="1">
        <v>44935</v>
      </c>
      <c r="E744">
        <v>284</v>
      </c>
      <c r="F744">
        <v>64</v>
      </c>
      <c r="G744">
        <v>220</v>
      </c>
      <c r="H744" t="s">
        <v>12</v>
      </c>
      <c r="I744" t="s">
        <v>13</v>
      </c>
    </row>
    <row r="745" spans="1:9" x14ac:dyDescent="0.35">
      <c r="A745" t="s">
        <v>865</v>
      </c>
      <c r="B745" t="s">
        <v>168</v>
      </c>
      <c r="C745" t="s">
        <v>27</v>
      </c>
      <c r="D745" s="1">
        <v>45472</v>
      </c>
      <c r="E745">
        <v>234</v>
      </c>
      <c r="F745">
        <v>47</v>
      </c>
      <c r="G745">
        <v>187</v>
      </c>
      <c r="H745" t="s">
        <v>12</v>
      </c>
      <c r="I745" t="s">
        <v>13</v>
      </c>
    </row>
    <row r="746" spans="1:9" x14ac:dyDescent="0.35">
      <c r="A746" t="s">
        <v>866</v>
      </c>
      <c r="B746" t="s">
        <v>259</v>
      </c>
      <c r="C746" t="s">
        <v>31</v>
      </c>
      <c r="D746" s="1">
        <v>45471</v>
      </c>
      <c r="E746">
        <v>347</v>
      </c>
      <c r="F746">
        <v>185</v>
      </c>
      <c r="G746">
        <v>162</v>
      </c>
      <c r="H746" t="s">
        <v>12</v>
      </c>
      <c r="I746" t="s">
        <v>24</v>
      </c>
    </row>
    <row r="747" spans="1:9" x14ac:dyDescent="0.35">
      <c r="A747" t="s">
        <v>867</v>
      </c>
      <c r="B747" t="s">
        <v>40</v>
      </c>
      <c r="C747" t="s">
        <v>31</v>
      </c>
      <c r="D747" s="1">
        <v>45138</v>
      </c>
      <c r="E747">
        <v>919</v>
      </c>
      <c r="F747">
        <v>145</v>
      </c>
      <c r="G747">
        <v>774</v>
      </c>
      <c r="H747" t="s">
        <v>12</v>
      </c>
      <c r="I747" t="s">
        <v>32</v>
      </c>
    </row>
    <row r="748" spans="1:9" x14ac:dyDescent="0.35">
      <c r="A748" t="s">
        <v>868</v>
      </c>
      <c r="B748" t="s">
        <v>50</v>
      </c>
      <c r="C748" t="s">
        <v>23</v>
      </c>
      <c r="D748" s="1">
        <v>45267</v>
      </c>
      <c r="E748">
        <v>589</v>
      </c>
      <c r="F748">
        <v>403</v>
      </c>
      <c r="G748">
        <v>186</v>
      </c>
      <c r="H748" t="s">
        <v>12</v>
      </c>
      <c r="I748" t="s">
        <v>20</v>
      </c>
    </row>
    <row r="749" spans="1:9" x14ac:dyDescent="0.35">
      <c r="A749" t="s">
        <v>869</v>
      </c>
      <c r="B749" t="s">
        <v>132</v>
      </c>
      <c r="C749" t="s">
        <v>27</v>
      </c>
      <c r="D749" s="1">
        <v>44998</v>
      </c>
      <c r="E749">
        <v>391</v>
      </c>
      <c r="F749">
        <v>53</v>
      </c>
      <c r="G749">
        <v>338</v>
      </c>
      <c r="H749" t="s">
        <v>12</v>
      </c>
      <c r="I749" t="s">
        <v>45</v>
      </c>
    </row>
    <row r="750" spans="1:9" x14ac:dyDescent="0.35">
      <c r="A750" t="s">
        <v>870</v>
      </c>
      <c r="B750" t="s">
        <v>103</v>
      </c>
      <c r="C750" t="s">
        <v>16</v>
      </c>
      <c r="D750" s="1">
        <v>45174</v>
      </c>
      <c r="E750">
        <v>889</v>
      </c>
      <c r="F750">
        <v>872</v>
      </c>
      <c r="G750">
        <v>17</v>
      </c>
      <c r="H750" t="s">
        <v>12</v>
      </c>
      <c r="I750" t="s">
        <v>20</v>
      </c>
    </row>
    <row r="751" spans="1:9" x14ac:dyDescent="0.35">
      <c r="A751" t="s">
        <v>871</v>
      </c>
      <c r="B751" t="s">
        <v>48</v>
      </c>
      <c r="C751" t="s">
        <v>11</v>
      </c>
      <c r="D751" s="1">
        <v>45078</v>
      </c>
      <c r="E751">
        <v>516</v>
      </c>
      <c r="F751">
        <v>119</v>
      </c>
      <c r="G751">
        <v>397</v>
      </c>
      <c r="H751" t="s">
        <v>12</v>
      </c>
      <c r="I751" t="s">
        <v>24</v>
      </c>
    </row>
    <row r="752" spans="1:9" x14ac:dyDescent="0.35">
      <c r="A752" t="s">
        <v>872</v>
      </c>
      <c r="B752" t="s">
        <v>155</v>
      </c>
      <c r="C752" t="s">
        <v>27</v>
      </c>
      <c r="D752" s="1">
        <v>45191</v>
      </c>
      <c r="E752">
        <v>955</v>
      </c>
      <c r="F752">
        <v>606</v>
      </c>
      <c r="G752">
        <v>349</v>
      </c>
      <c r="H752" t="s">
        <v>12</v>
      </c>
      <c r="I752" t="s">
        <v>20</v>
      </c>
    </row>
    <row r="753" spans="1:9" x14ac:dyDescent="0.35">
      <c r="A753" t="s">
        <v>873</v>
      </c>
      <c r="B753" t="s">
        <v>61</v>
      </c>
      <c r="C753" t="s">
        <v>11</v>
      </c>
      <c r="D753" s="1">
        <v>45332</v>
      </c>
      <c r="E753">
        <v>378</v>
      </c>
      <c r="F753">
        <v>214</v>
      </c>
      <c r="G753">
        <v>164</v>
      </c>
      <c r="H753" t="s">
        <v>12</v>
      </c>
      <c r="I753" t="s">
        <v>13</v>
      </c>
    </row>
    <row r="754" spans="1:9" x14ac:dyDescent="0.35">
      <c r="A754" t="s">
        <v>874</v>
      </c>
      <c r="B754" t="s">
        <v>15</v>
      </c>
      <c r="C754" t="s">
        <v>31</v>
      </c>
      <c r="D754" s="1">
        <v>45132</v>
      </c>
      <c r="E754">
        <v>482</v>
      </c>
      <c r="F754">
        <v>470</v>
      </c>
      <c r="G754">
        <v>12</v>
      </c>
      <c r="H754" t="s">
        <v>12</v>
      </c>
      <c r="I754" t="s">
        <v>24</v>
      </c>
    </row>
    <row r="755" spans="1:9" x14ac:dyDescent="0.35">
      <c r="A755" t="s">
        <v>875</v>
      </c>
      <c r="B755" t="s">
        <v>168</v>
      </c>
      <c r="C755" t="s">
        <v>19</v>
      </c>
      <c r="D755" s="1">
        <v>45352</v>
      </c>
      <c r="E755">
        <v>335</v>
      </c>
      <c r="F755">
        <v>269</v>
      </c>
      <c r="G755">
        <v>66</v>
      </c>
      <c r="H755" t="s">
        <v>12</v>
      </c>
      <c r="I755" t="s">
        <v>32</v>
      </c>
    </row>
    <row r="756" spans="1:9" x14ac:dyDescent="0.35">
      <c r="A756" t="s">
        <v>876</v>
      </c>
      <c r="B756" t="s">
        <v>118</v>
      </c>
      <c r="C756" t="s">
        <v>16</v>
      </c>
      <c r="D756" s="1">
        <v>45331</v>
      </c>
      <c r="E756">
        <v>548</v>
      </c>
      <c r="F756">
        <v>214</v>
      </c>
      <c r="G756">
        <v>334</v>
      </c>
      <c r="H756" t="s">
        <v>12</v>
      </c>
      <c r="I756" t="s">
        <v>28</v>
      </c>
    </row>
    <row r="757" spans="1:9" x14ac:dyDescent="0.35">
      <c r="A757" t="s">
        <v>877</v>
      </c>
      <c r="B757" t="s">
        <v>93</v>
      </c>
      <c r="C757" t="s">
        <v>11</v>
      </c>
      <c r="D757" s="1">
        <v>45522</v>
      </c>
      <c r="E757">
        <v>619</v>
      </c>
      <c r="F757">
        <v>468</v>
      </c>
      <c r="G757">
        <v>151</v>
      </c>
      <c r="H757" t="s">
        <v>12</v>
      </c>
      <c r="I757" t="s">
        <v>28</v>
      </c>
    </row>
    <row r="758" spans="1:9" x14ac:dyDescent="0.35">
      <c r="A758" t="s">
        <v>878</v>
      </c>
      <c r="B758" t="s">
        <v>136</v>
      </c>
      <c r="C758" t="s">
        <v>11</v>
      </c>
      <c r="D758" s="1">
        <v>45473</v>
      </c>
      <c r="E758">
        <v>334</v>
      </c>
      <c r="F758">
        <v>45</v>
      </c>
      <c r="G758">
        <v>289</v>
      </c>
      <c r="H758" t="s">
        <v>12</v>
      </c>
      <c r="I758" t="s">
        <v>28</v>
      </c>
    </row>
    <row r="759" spans="1:9" x14ac:dyDescent="0.35">
      <c r="A759" t="s">
        <v>879</v>
      </c>
      <c r="B759" t="s">
        <v>67</v>
      </c>
      <c r="C759" t="s">
        <v>11</v>
      </c>
      <c r="D759" s="1">
        <v>45102</v>
      </c>
      <c r="E759">
        <v>129</v>
      </c>
      <c r="F759">
        <v>79</v>
      </c>
      <c r="G759">
        <v>50</v>
      </c>
      <c r="H759" t="s">
        <v>12</v>
      </c>
      <c r="I759" t="s">
        <v>45</v>
      </c>
    </row>
    <row r="760" spans="1:9" x14ac:dyDescent="0.35">
      <c r="A760" t="s">
        <v>880</v>
      </c>
      <c r="B760" t="s">
        <v>400</v>
      </c>
      <c r="C760" t="s">
        <v>11</v>
      </c>
      <c r="D760" s="1">
        <v>45080</v>
      </c>
      <c r="E760">
        <v>508</v>
      </c>
      <c r="F760">
        <v>403</v>
      </c>
      <c r="G760">
        <v>105</v>
      </c>
      <c r="H760" t="s">
        <v>12</v>
      </c>
      <c r="I760" t="s">
        <v>20</v>
      </c>
    </row>
    <row r="761" spans="1:9" x14ac:dyDescent="0.35">
      <c r="A761" t="s">
        <v>881</v>
      </c>
      <c r="B761" t="s">
        <v>178</v>
      </c>
      <c r="C761" t="s">
        <v>16</v>
      </c>
      <c r="D761" s="1">
        <v>45222</v>
      </c>
      <c r="E761">
        <v>472</v>
      </c>
      <c r="F761">
        <v>190</v>
      </c>
      <c r="G761">
        <v>282</v>
      </c>
      <c r="H761" t="s">
        <v>12</v>
      </c>
      <c r="I761" t="s">
        <v>32</v>
      </c>
    </row>
    <row r="762" spans="1:9" x14ac:dyDescent="0.35">
      <c r="A762" t="s">
        <v>882</v>
      </c>
      <c r="B762" t="s">
        <v>136</v>
      </c>
      <c r="C762" t="s">
        <v>11</v>
      </c>
      <c r="D762" s="1">
        <v>45520</v>
      </c>
      <c r="E762">
        <v>671</v>
      </c>
      <c r="F762">
        <v>399</v>
      </c>
      <c r="G762">
        <v>272</v>
      </c>
      <c r="H762" t="s">
        <v>12</v>
      </c>
      <c r="I762" t="s">
        <v>13</v>
      </c>
    </row>
    <row r="763" spans="1:9" x14ac:dyDescent="0.35">
      <c r="A763" t="s">
        <v>883</v>
      </c>
      <c r="B763" t="s">
        <v>83</v>
      </c>
      <c r="C763" t="s">
        <v>11</v>
      </c>
      <c r="D763" s="1">
        <v>45433</v>
      </c>
      <c r="E763">
        <v>908</v>
      </c>
      <c r="F763">
        <v>142</v>
      </c>
      <c r="G763">
        <v>766</v>
      </c>
      <c r="H763" t="s">
        <v>12</v>
      </c>
      <c r="I763" t="s">
        <v>24</v>
      </c>
    </row>
    <row r="764" spans="1:9" x14ac:dyDescent="0.35">
      <c r="A764" t="s">
        <v>884</v>
      </c>
      <c r="B764" t="s">
        <v>206</v>
      </c>
      <c r="C764" t="s">
        <v>11</v>
      </c>
      <c r="D764" s="1">
        <v>45061</v>
      </c>
      <c r="E764">
        <v>103</v>
      </c>
      <c r="F764">
        <v>50</v>
      </c>
      <c r="G764">
        <v>53</v>
      </c>
      <c r="H764" t="s">
        <v>12</v>
      </c>
      <c r="I764" t="s">
        <v>24</v>
      </c>
    </row>
    <row r="765" spans="1:9" x14ac:dyDescent="0.35">
      <c r="A765" t="s">
        <v>885</v>
      </c>
      <c r="B765" t="s">
        <v>223</v>
      </c>
      <c r="C765" t="s">
        <v>16</v>
      </c>
      <c r="D765" s="1">
        <v>45251</v>
      </c>
      <c r="E765">
        <v>241</v>
      </c>
      <c r="F765">
        <v>162</v>
      </c>
      <c r="G765">
        <v>79</v>
      </c>
      <c r="H765" t="s">
        <v>12</v>
      </c>
      <c r="I765" t="s">
        <v>24</v>
      </c>
    </row>
    <row r="766" spans="1:9" x14ac:dyDescent="0.35">
      <c r="A766" t="s">
        <v>886</v>
      </c>
      <c r="B766" t="s">
        <v>138</v>
      </c>
      <c r="C766" t="s">
        <v>19</v>
      </c>
      <c r="D766" s="1">
        <v>45402</v>
      </c>
      <c r="E766">
        <v>548</v>
      </c>
      <c r="F766">
        <v>0</v>
      </c>
      <c r="G766">
        <v>548</v>
      </c>
      <c r="H766" t="s">
        <v>12</v>
      </c>
      <c r="I766" t="s">
        <v>28</v>
      </c>
    </row>
    <row r="767" spans="1:9" x14ac:dyDescent="0.35">
      <c r="A767" t="s">
        <v>887</v>
      </c>
      <c r="B767" t="s">
        <v>202</v>
      </c>
      <c r="C767" t="s">
        <v>23</v>
      </c>
      <c r="D767" s="1">
        <v>45195</v>
      </c>
      <c r="E767">
        <v>626</v>
      </c>
      <c r="F767">
        <v>4</v>
      </c>
      <c r="G767">
        <v>622</v>
      </c>
      <c r="H767" t="s">
        <v>12</v>
      </c>
      <c r="I767" t="s">
        <v>28</v>
      </c>
    </row>
    <row r="768" spans="1:9" x14ac:dyDescent="0.35">
      <c r="A768" t="s">
        <v>888</v>
      </c>
      <c r="B768" t="s">
        <v>147</v>
      </c>
      <c r="C768" t="s">
        <v>11</v>
      </c>
      <c r="D768" s="1">
        <v>45222</v>
      </c>
      <c r="E768">
        <v>929</v>
      </c>
      <c r="F768">
        <v>22</v>
      </c>
      <c r="G768">
        <v>907</v>
      </c>
      <c r="H768" t="s">
        <v>12</v>
      </c>
      <c r="I768" t="s">
        <v>24</v>
      </c>
    </row>
    <row r="769" spans="1:9" x14ac:dyDescent="0.35">
      <c r="A769" t="s">
        <v>889</v>
      </c>
      <c r="B769" t="s">
        <v>125</v>
      </c>
      <c r="C769" t="s">
        <v>27</v>
      </c>
      <c r="D769" s="1">
        <v>45223</v>
      </c>
      <c r="E769">
        <v>595</v>
      </c>
      <c r="F769">
        <v>588</v>
      </c>
      <c r="G769">
        <v>7</v>
      </c>
      <c r="H769" t="s">
        <v>12</v>
      </c>
      <c r="I769" t="s">
        <v>45</v>
      </c>
    </row>
    <row r="770" spans="1:9" x14ac:dyDescent="0.35">
      <c r="A770" t="s">
        <v>890</v>
      </c>
      <c r="B770" t="s">
        <v>150</v>
      </c>
      <c r="C770" t="s">
        <v>27</v>
      </c>
      <c r="D770" s="1">
        <v>45209</v>
      </c>
      <c r="E770">
        <v>594</v>
      </c>
      <c r="F770">
        <v>397</v>
      </c>
      <c r="G770">
        <v>197</v>
      </c>
      <c r="H770" t="s">
        <v>12</v>
      </c>
      <c r="I770" t="s">
        <v>32</v>
      </c>
    </row>
    <row r="771" spans="1:9" x14ac:dyDescent="0.35">
      <c r="A771" t="s">
        <v>891</v>
      </c>
      <c r="B771" t="s">
        <v>269</v>
      </c>
      <c r="C771" t="s">
        <v>19</v>
      </c>
      <c r="D771" s="1">
        <v>45387</v>
      </c>
      <c r="E771">
        <v>336</v>
      </c>
      <c r="F771">
        <v>257</v>
      </c>
      <c r="G771">
        <v>79</v>
      </c>
      <c r="H771" t="s">
        <v>12</v>
      </c>
      <c r="I771" t="s">
        <v>20</v>
      </c>
    </row>
    <row r="772" spans="1:9" x14ac:dyDescent="0.35">
      <c r="A772" t="s">
        <v>892</v>
      </c>
      <c r="B772" t="s">
        <v>18</v>
      </c>
      <c r="C772" t="s">
        <v>27</v>
      </c>
      <c r="D772" s="1">
        <v>45353</v>
      </c>
      <c r="E772">
        <v>428</v>
      </c>
      <c r="F772">
        <v>138</v>
      </c>
      <c r="G772">
        <v>290</v>
      </c>
      <c r="H772" t="s">
        <v>12</v>
      </c>
      <c r="I772" t="s">
        <v>24</v>
      </c>
    </row>
    <row r="773" spans="1:9" x14ac:dyDescent="0.35">
      <c r="A773" t="s">
        <v>893</v>
      </c>
      <c r="B773" t="s">
        <v>254</v>
      </c>
      <c r="C773" t="s">
        <v>27</v>
      </c>
      <c r="D773" s="1">
        <v>44995</v>
      </c>
      <c r="E773">
        <v>250</v>
      </c>
      <c r="F773">
        <v>4</v>
      </c>
      <c r="G773">
        <v>246</v>
      </c>
      <c r="H773" t="s">
        <v>12</v>
      </c>
      <c r="I773" t="s">
        <v>20</v>
      </c>
    </row>
    <row r="774" spans="1:9" x14ac:dyDescent="0.35">
      <c r="A774" t="s">
        <v>894</v>
      </c>
      <c r="B774" t="s">
        <v>244</v>
      </c>
      <c r="C774" t="s">
        <v>31</v>
      </c>
      <c r="D774" s="1">
        <v>45284</v>
      </c>
      <c r="E774">
        <v>542</v>
      </c>
      <c r="F774">
        <v>83</v>
      </c>
      <c r="G774">
        <v>459</v>
      </c>
      <c r="H774" t="s">
        <v>12</v>
      </c>
      <c r="I774" t="s">
        <v>20</v>
      </c>
    </row>
    <row r="775" spans="1:9" x14ac:dyDescent="0.35">
      <c r="A775" t="s">
        <v>895</v>
      </c>
      <c r="B775" t="s">
        <v>404</v>
      </c>
      <c r="C775" t="s">
        <v>27</v>
      </c>
      <c r="D775" s="1">
        <v>45450</v>
      </c>
      <c r="E775">
        <v>862</v>
      </c>
      <c r="F775">
        <v>298</v>
      </c>
      <c r="G775">
        <v>564</v>
      </c>
      <c r="H775" t="s">
        <v>12</v>
      </c>
      <c r="I775" t="s">
        <v>32</v>
      </c>
    </row>
    <row r="776" spans="1:9" x14ac:dyDescent="0.35">
      <c r="A776" t="s">
        <v>896</v>
      </c>
      <c r="B776" t="s">
        <v>216</v>
      </c>
      <c r="C776" t="s">
        <v>27</v>
      </c>
      <c r="D776" s="1">
        <v>44954</v>
      </c>
      <c r="E776">
        <v>152</v>
      </c>
      <c r="F776">
        <v>130</v>
      </c>
      <c r="G776">
        <v>22</v>
      </c>
      <c r="H776" t="s">
        <v>12</v>
      </c>
      <c r="I776" t="s">
        <v>28</v>
      </c>
    </row>
    <row r="777" spans="1:9" x14ac:dyDescent="0.35">
      <c r="A777" t="s">
        <v>897</v>
      </c>
      <c r="B777" t="s">
        <v>214</v>
      </c>
      <c r="C777" t="s">
        <v>11</v>
      </c>
      <c r="D777" s="1">
        <v>45298</v>
      </c>
      <c r="E777">
        <v>238</v>
      </c>
      <c r="F777">
        <v>136</v>
      </c>
      <c r="G777">
        <v>102</v>
      </c>
      <c r="H777" t="s">
        <v>12</v>
      </c>
      <c r="I777" t="s">
        <v>45</v>
      </c>
    </row>
    <row r="778" spans="1:9" x14ac:dyDescent="0.35">
      <c r="A778" t="s">
        <v>898</v>
      </c>
      <c r="B778" t="s">
        <v>478</v>
      </c>
      <c r="C778" t="s">
        <v>27</v>
      </c>
      <c r="D778" s="1">
        <v>45135</v>
      </c>
      <c r="E778">
        <v>797</v>
      </c>
      <c r="F778">
        <v>279</v>
      </c>
      <c r="G778">
        <v>518</v>
      </c>
      <c r="H778" t="s">
        <v>12</v>
      </c>
      <c r="I778" t="s">
        <v>13</v>
      </c>
    </row>
    <row r="779" spans="1:9" x14ac:dyDescent="0.35">
      <c r="A779" t="s">
        <v>899</v>
      </c>
      <c r="B779" t="s">
        <v>125</v>
      </c>
      <c r="C779" t="s">
        <v>31</v>
      </c>
      <c r="D779" s="1">
        <v>45343</v>
      </c>
      <c r="E779">
        <v>871</v>
      </c>
      <c r="F779">
        <v>827</v>
      </c>
      <c r="G779">
        <v>44</v>
      </c>
      <c r="H779" t="s">
        <v>12</v>
      </c>
      <c r="I779" t="s">
        <v>45</v>
      </c>
    </row>
    <row r="780" spans="1:9" x14ac:dyDescent="0.35">
      <c r="A780" t="s">
        <v>900</v>
      </c>
      <c r="B780" t="s">
        <v>254</v>
      </c>
      <c r="C780" t="s">
        <v>11</v>
      </c>
      <c r="D780" s="1">
        <v>45151</v>
      </c>
      <c r="E780">
        <v>727</v>
      </c>
      <c r="F780">
        <v>107</v>
      </c>
      <c r="G780">
        <v>620</v>
      </c>
      <c r="H780" t="s">
        <v>12</v>
      </c>
      <c r="I780" t="s">
        <v>24</v>
      </c>
    </row>
    <row r="781" spans="1:9" x14ac:dyDescent="0.35">
      <c r="A781" t="s">
        <v>901</v>
      </c>
      <c r="B781" t="s">
        <v>337</v>
      </c>
      <c r="C781" t="s">
        <v>19</v>
      </c>
      <c r="D781" s="1">
        <v>45367</v>
      </c>
      <c r="E781">
        <v>799</v>
      </c>
      <c r="F781">
        <v>653</v>
      </c>
      <c r="G781">
        <v>146</v>
      </c>
      <c r="H781" t="s">
        <v>12</v>
      </c>
      <c r="I781" t="s">
        <v>24</v>
      </c>
    </row>
    <row r="782" spans="1:9" x14ac:dyDescent="0.35">
      <c r="A782" t="s">
        <v>902</v>
      </c>
      <c r="B782" t="s">
        <v>375</v>
      </c>
      <c r="C782" t="s">
        <v>19</v>
      </c>
      <c r="D782" s="1">
        <v>45504</v>
      </c>
      <c r="E782">
        <v>713</v>
      </c>
      <c r="F782">
        <v>152</v>
      </c>
      <c r="G782">
        <v>561</v>
      </c>
      <c r="H782" t="s">
        <v>12</v>
      </c>
      <c r="I782" t="s">
        <v>45</v>
      </c>
    </row>
    <row r="783" spans="1:9" x14ac:dyDescent="0.35">
      <c r="A783" t="s">
        <v>903</v>
      </c>
      <c r="B783" t="s">
        <v>322</v>
      </c>
      <c r="C783" t="s">
        <v>27</v>
      </c>
      <c r="D783" s="1">
        <v>45519</v>
      </c>
      <c r="E783">
        <v>356</v>
      </c>
      <c r="F783">
        <v>292</v>
      </c>
      <c r="G783">
        <v>64</v>
      </c>
      <c r="H783" t="s">
        <v>12</v>
      </c>
      <c r="I783" t="s">
        <v>20</v>
      </c>
    </row>
    <row r="784" spans="1:9" x14ac:dyDescent="0.35">
      <c r="A784" t="s">
        <v>904</v>
      </c>
      <c r="B784" t="s">
        <v>189</v>
      </c>
      <c r="C784" t="s">
        <v>11</v>
      </c>
      <c r="D784" s="1">
        <v>45344</v>
      </c>
      <c r="E784">
        <v>774</v>
      </c>
      <c r="F784">
        <v>107</v>
      </c>
      <c r="G784">
        <v>667</v>
      </c>
      <c r="H784" t="s">
        <v>12</v>
      </c>
      <c r="I784" t="s">
        <v>13</v>
      </c>
    </row>
    <row r="785" spans="1:9" x14ac:dyDescent="0.35">
      <c r="A785" t="s">
        <v>905</v>
      </c>
      <c r="B785" t="s">
        <v>59</v>
      </c>
      <c r="C785" t="s">
        <v>19</v>
      </c>
      <c r="D785" s="1">
        <v>45246</v>
      </c>
      <c r="E785">
        <v>896</v>
      </c>
      <c r="F785">
        <v>25</v>
      </c>
      <c r="G785">
        <v>871</v>
      </c>
      <c r="H785" t="s">
        <v>12</v>
      </c>
      <c r="I785" t="s">
        <v>24</v>
      </c>
    </row>
    <row r="786" spans="1:9" x14ac:dyDescent="0.35">
      <c r="A786" t="s">
        <v>906</v>
      </c>
      <c r="B786" t="s">
        <v>111</v>
      </c>
      <c r="C786" t="s">
        <v>11</v>
      </c>
      <c r="D786" s="1">
        <v>45151</v>
      </c>
      <c r="E786">
        <v>824</v>
      </c>
      <c r="F786">
        <v>206</v>
      </c>
      <c r="G786">
        <v>618</v>
      </c>
      <c r="H786" t="s">
        <v>12</v>
      </c>
      <c r="I786" t="s">
        <v>32</v>
      </c>
    </row>
    <row r="787" spans="1:9" x14ac:dyDescent="0.35">
      <c r="A787" t="s">
        <v>907</v>
      </c>
      <c r="B787" t="s">
        <v>63</v>
      </c>
      <c r="C787" t="s">
        <v>19</v>
      </c>
      <c r="D787" s="1">
        <v>45103</v>
      </c>
      <c r="E787">
        <v>299</v>
      </c>
      <c r="F787">
        <v>142</v>
      </c>
      <c r="G787">
        <v>157</v>
      </c>
      <c r="H787" t="s">
        <v>12</v>
      </c>
      <c r="I787" t="s">
        <v>13</v>
      </c>
    </row>
    <row r="788" spans="1:9" x14ac:dyDescent="0.35">
      <c r="A788" t="s">
        <v>908</v>
      </c>
      <c r="B788" t="s">
        <v>132</v>
      </c>
      <c r="C788" t="s">
        <v>23</v>
      </c>
      <c r="D788" s="1">
        <v>44990</v>
      </c>
      <c r="E788">
        <v>398</v>
      </c>
      <c r="F788">
        <v>29</v>
      </c>
      <c r="G788">
        <v>369</v>
      </c>
      <c r="H788" t="s">
        <v>12</v>
      </c>
      <c r="I788" t="s">
        <v>20</v>
      </c>
    </row>
    <row r="789" spans="1:9" x14ac:dyDescent="0.35">
      <c r="A789" t="s">
        <v>909</v>
      </c>
      <c r="B789" t="s">
        <v>76</v>
      </c>
      <c r="C789" t="s">
        <v>16</v>
      </c>
      <c r="D789" s="1">
        <v>45286</v>
      </c>
      <c r="E789">
        <v>343</v>
      </c>
      <c r="F789">
        <v>297</v>
      </c>
      <c r="G789">
        <v>46</v>
      </c>
      <c r="H789" t="s">
        <v>12</v>
      </c>
      <c r="I789" t="s">
        <v>32</v>
      </c>
    </row>
    <row r="790" spans="1:9" x14ac:dyDescent="0.35">
      <c r="A790" t="s">
        <v>910</v>
      </c>
      <c r="B790" t="s">
        <v>136</v>
      </c>
      <c r="C790" t="s">
        <v>23</v>
      </c>
      <c r="D790" s="1">
        <v>45045</v>
      </c>
      <c r="E790">
        <v>566</v>
      </c>
      <c r="F790">
        <v>46</v>
      </c>
      <c r="G790">
        <v>520</v>
      </c>
      <c r="H790" t="s">
        <v>12</v>
      </c>
      <c r="I790" t="s">
        <v>13</v>
      </c>
    </row>
    <row r="791" spans="1:9" x14ac:dyDescent="0.35">
      <c r="A791" t="s">
        <v>911</v>
      </c>
      <c r="B791" t="s">
        <v>38</v>
      </c>
      <c r="C791" t="s">
        <v>31</v>
      </c>
      <c r="D791" s="1">
        <v>45059</v>
      </c>
      <c r="E791">
        <v>105</v>
      </c>
      <c r="F791">
        <v>4</v>
      </c>
      <c r="G791">
        <v>101</v>
      </c>
      <c r="H791" t="s">
        <v>12</v>
      </c>
      <c r="I791" t="s">
        <v>28</v>
      </c>
    </row>
    <row r="792" spans="1:9" x14ac:dyDescent="0.35">
      <c r="A792" t="s">
        <v>912</v>
      </c>
      <c r="B792" t="s">
        <v>143</v>
      </c>
      <c r="C792" t="s">
        <v>31</v>
      </c>
      <c r="D792" s="1">
        <v>45071</v>
      </c>
      <c r="E792">
        <v>549</v>
      </c>
      <c r="F792">
        <v>488</v>
      </c>
      <c r="G792">
        <v>61</v>
      </c>
      <c r="H792" t="s">
        <v>12</v>
      </c>
      <c r="I792" t="s">
        <v>28</v>
      </c>
    </row>
    <row r="793" spans="1:9" x14ac:dyDescent="0.35">
      <c r="A793" t="s">
        <v>913</v>
      </c>
      <c r="B793" t="s">
        <v>195</v>
      </c>
      <c r="C793" t="s">
        <v>31</v>
      </c>
      <c r="D793" s="1">
        <v>45094</v>
      </c>
      <c r="E793">
        <v>995</v>
      </c>
      <c r="F793">
        <v>801</v>
      </c>
      <c r="G793">
        <v>194</v>
      </c>
      <c r="H793" t="s">
        <v>12</v>
      </c>
      <c r="I793" t="s">
        <v>24</v>
      </c>
    </row>
    <row r="794" spans="1:9" x14ac:dyDescent="0.35">
      <c r="A794" t="s">
        <v>914</v>
      </c>
      <c r="B794" t="s">
        <v>322</v>
      </c>
      <c r="C794" t="s">
        <v>27</v>
      </c>
      <c r="D794" s="1">
        <v>45428</v>
      </c>
      <c r="E794">
        <v>459</v>
      </c>
      <c r="F794">
        <v>389</v>
      </c>
      <c r="G794">
        <v>70</v>
      </c>
      <c r="H794" t="s">
        <v>12</v>
      </c>
      <c r="I794" t="s">
        <v>24</v>
      </c>
    </row>
    <row r="795" spans="1:9" x14ac:dyDescent="0.35">
      <c r="A795" t="s">
        <v>915</v>
      </c>
      <c r="B795" t="s">
        <v>223</v>
      </c>
      <c r="C795" t="s">
        <v>19</v>
      </c>
      <c r="D795" s="1">
        <v>45378</v>
      </c>
      <c r="E795">
        <v>966</v>
      </c>
      <c r="F795">
        <v>110</v>
      </c>
      <c r="G795">
        <v>856</v>
      </c>
      <c r="H795" t="s">
        <v>12</v>
      </c>
      <c r="I795" t="s">
        <v>20</v>
      </c>
    </row>
    <row r="796" spans="1:9" x14ac:dyDescent="0.35">
      <c r="A796" t="s">
        <v>916</v>
      </c>
      <c r="B796" t="s">
        <v>159</v>
      </c>
      <c r="C796" t="s">
        <v>16</v>
      </c>
      <c r="D796" s="1">
        <v>45462</v>
      </c>
      <c r="E796">
        <v>209</v>
      </c>
      <c r="F796">
        <v>198</v>
      </c>
      <c r="G796">
        <v>11</v>
      </c>
      <c r="H796" t="s">
        <v>12</v>
      </c>
      <c r="I796" t="s">
        <v>28</v>
      </c>
    </row>
    <row r="797" spans="1:9" x14ac:dyDescent="0.35">
      <c r="A797" t="s">
        <v>917</v>
      </c>
      <c r="B797" t="s">
        <v>276</v>
      </c>
      <c r="C797" t="s">
        <v>31</v>
      </c>
      <c r="D797" s="1">
        <v>45150</v>
      </c>
      <c r="E797">
        <v>106</v>
      </c>
      <c r="F797">
        <v>87</v>
      </c>
      <c r="G797">
        <v>19</v>
      </c>
      <c r="H797" t="s">
        <v>12</v>
      </c>
      <c r="I797" t="s">
        <v>13</v>
      </c>
    </row>
    <row r="798" spans="1:9" x14ac:dyDescent="0.35">
      <c r="A798" t="s">
        <v>918</v>
      </c>
      <c r="B798" t="s">
        <v>59</v>
      </c>
      <c r="C798" t="s">
        <v>27</v>
      </c>
      <c r="D798" s="1">
        <v>45005</v>
      </c>
      <c r="E798">
        <v>898</v>
      </c>
      <c r="F798">
        <v>838</v>
      </c>
      <c r="G798">
        <v>60</v>
      </c>
      <c r="H798" t="s">
        <v>12</v>
      </c>
      <c r="I798" t="s">
        <v>32</v>
      </c>
    </row>
    <row r="799" spans="1:9" x14ac:dyDescent="0.35">
      <c r="A799" t="s">
        <v>919</v>
      </c>
      <c r="B799" t="s">
        <v>301</v>
      </c>
      <c r="C799" t="s">
        <v>23</v>
      </c>
      <c r="D799" s="1">
        <v>45205</v>
      </c>
      <c r="E799">
        <v>754</v>
      </c>
      <c r="F799">
        <v>422</v>
      </c>
      <c r="G799">
        <v>332</v>
      </c>
      <c r="H799" t="s">
        <v>12</v>
      </c>
      <c r="I799" t="s">
        <v>45</v>
      </c>
    </row>
    <row r="800" spans="1:9" x14ac:dyDescent="0.35">
      <c r="A800" t="s">
        <v>920</v>
      </c>
      <c r="B800" t="s">
        <v>89</v>
      </c>
      <c r="C800" t="s">
        <v>11</v>
      </c>
      <c r="D800" s="1">
        <v>45484</v>
      </c>
      <c r="E800">
        <v>529</v>
      </c>
      <c r="F800">
        <v>476</v>
      </c>
      <c r="G800">
        <v>53</v>
      </c>
      <c r="H800" t="s">
        <v>12</v>
      </c>
      <c r="I800" t="s">
        <v>20</v>
      </c>
    </row>
    <row r="801" spans="1:9" x14ac:dyDescent="0.35">
      <c r="A801" t="s">
        <v>921</v>
      </c>
      <c r="B801" t="s">
        <v>48</v>
      </c>
      <c r="C801" t="s">
        <v>27</v>
      </c>
      <c r="D801" s="1">
        <v>45427</v>
      </c>
      <c r="E801">
        <v>975</v>
      </c>
      <c r="F801">
        <v>459</v>
      </c>
      <c r="G801">
        <v>516</v>
      </c>
      <c r="H801" t="s">
        <v>12</v>
      </c>
      <c r="I801" t="s">
        <v>45</v>
      </c>
    </row>
    <row r="802" spans="1:9" x14ac:dyDescent="0.35">
      <c r="A802" t="s">
        <v>922</v>
      </c>
      <c r="B802" t="s">
        <v>76</v>
      </c>
      <c r="C802" t="s">
        <v>23</v>
      </c>
      <c r="D802" s="1">
        <v>45508</v>
      </c>
      <c r="E802">
        <v>542</v>
      </c>
      <c r="F802">
        <v>441</v>
      </c>
      <c r="G802">
        <v>101</v>
      </c>
      <c r="H802" t="s">
        <v>12</v>
      </c>
      <c r="I802" t="s">
        <v>32</v>
      </c>
    </row>
    <row r="803" spans="1:9" x14ac:dyDescent="0.35">
      <c r="A803" t="s">
        <v>923</v>
      </c>
      <c r="B803" t="s">
        <v>103</v>
      </c>
      <c r="C803" t="s">
        <v>31</v>
      </c>
      <c r="D803" s="1">
        <v>45067</v>
      </c>
      <c r="E803">
        <v>659</v>
      </c>
      <c r="F803">
        <v>302</v>
      </c>
      <c r="G803">
        <v>357</v>
      </c>
      <c r="H803" t="s">
        <v>12</v>
      </c>
      <c r="I803" t="s">
        <v>13</v>
      </c>
    </row>
    <row r="804" spans="1:9" x14ac:dyDescent="0.35">
      <c r="A804" t="s">
        <v>924</v>
      </c>
      <c r="B804" t="s">
        <v>175</v>
      </c>
      <c r="C804" t="s">
        <v>31</v>
      </c>
      <c r="D804" s="1">
        <v>45519</v>
      </c>
      <c r="E804">
        <v>802</v>
      </c>
      <c r="F804">
        <v>163</v>
      </c>
      <c r="G804">
        <v>639</v>
      </c>
      <c r="H804" t="s">
        <v>12</v>
      </c>
      <c r="I804" t="s">
        <v>28</v>
      </c>
    </row>
    <row r="805" spans="1:9" x14ac:dyDescent="0.35">
      <c r="A805" t="s">
        <v>925</v>
      </c>
      <c r="B805" t="s">
        <v>155</v>
      </c>
      <c r="C805" t="s">
        <v>11</v>
      </c>
      <c r="D805" s="1">
        <v>45128</v>
      </c>
      <c r="E805">
        <v>856</v>
      </c>
      <c r="F805">
        <v>733</v>
      </c>
      <c r="G805">
        <v>123</v>
      </c>
      <c r="H805" t="s">
        <v>12</v>
      </c>
      <c r="I805" t="s">
        <v>45</v>
      </c>
    </row>
    <row r="806" spans="1:9" x14ac:dyDescent="0.35">
      <c r="A806" t="s">
        <v>926</v>
      </c>
      <c r="B806" t="s">
        <v>159</v>
      </c>
      <c r="C806" t="s">
        <v>23</v>
      </c>
      <c r="D806" s="1">
        <v>45029</v>
      </c>
      <c r="E806">
        <v>265</v>
      </c>
      <c r="F806">
        <v>90</v>
      </c>
      <c r="G806">
        <v>175</v>
      </c>
      <c r="H806" t="s">
        <v>12</v>
      </c>
      <c r="I806" t="s">
        <v>13</v>
      </c>
    </row>
    <row r="807" spans="1:9" x14ac:dyDescent="0.35">
      <c r="A807" t="s">
        <v>927</v>
      </c>
      <c r="B807" t="s">
        <v>214</v>
      </c>
      <c r="C807" t="s">
        <v>19</v>
      </c>
      <c r="D807" s="1">
        <v>45445</v>
      </c>
      <c r="E807">
        <v>662</v>
      </c>
      <c r="F807">
        <v>348</v>
      </c>
      <c r="G807">
        <v>314</v>
      </c>
      <c r="H807" t="s">
        <v>12</v>
      </c>
      <c r="I807" t="s">
        <v>20</v>
      </c>
    </row>
    <row r="808" spans="1:9" x14ac:dyDescent="0.35">
      <c r="A808" t="s">
        <v>928</v>
      </c>
      <c r="B808" t="s">
        <v>22</v>
      </c>
      <c r="C808" t="s">
        <v>27</v>
      </c>
      <c r="D808" s="1">
        <v>45334</v>
      </c>
      <c r="E808">
        <v>436</v>
      </c>
      <c r="F808">
        <v>392</v>
      </c>
      <c r="G808">
        <v>44</v>
      </c>
      <c r="H808" t="s">
        <v>12</v>
      </c>
      <c r="I808" t="s">
        <v>28</v>
      </c>
    </row>
    <row r="809" spans="1:9" x14ac:dyDescent="0.35">
      <c r="A809" t="s">
        <v>929</v>
      </c>
      <c r="B809" t="s">
        <v>464</v>
      </c>
      <c r="C809" t="s">
        <v>23</v>
      </c>
      <c r="D809" s="1">
        <v>45479</v>
      </c>
      <c r="E809">
        <v>990</v>
      </c>
      <c r="F809">
        <v>410</v>
      </c>
      <c r="G809">
        <v>580</v>
      </c>
      <c r="H809" t="s">
        <v>12</v>
      </c>
      <c r="I809" t="s">
        <v>45</v>
      </c>
    </row>
    <row r="810" spans="1:9" x14ac:dyDescent="0.35">
      <c r="A810" t="s">
        <v>930</v>
      </c>
      <c r="B810" t="s">
        <v>171</v>
      </c>
      <c r="C810" t="s">
        <v>23</v>
      </c>
      <c r="D810" s="1">
        <v>45291</v>
      </c>
      <c r="E810">
        <v>871</v>
      </c>
      <c r="F810">
        <v>598</v>
      </c>
      <c r="G810">
        <v>273</v>
      </c>
      <c r="H810" t="s">
        <v>12</v>
      </c>
      <c r="I810" t="s">
        <v>20</v>
      </c>
    </row>
    <row r="811" spans="1:9" x14ac:dyDescent="0.35">
      <c r="A811" t="s">
        <v>931</v>
      </c>
      <c r="B811" t="s">
        <v>418</v>
      </c>
      <c r="C811" t="s">
        <v>23</v>
      </c>
      <c r="D811" s="1">
        <v>45499</v>
      </c>
      <c r="E811">
        <v>234</v>
      </c>
      <c r="F811">
        <v>197</v>
      </c>
      <c r="G811">
        <v>37</v>
      </c>
      <c r="H811" t="s">
        <v>12</v>
      </c>
      <c r="I811" t="s">
        <v>13</v>
      </c>
    </row>
    <row r="812" spans="1:9" x14ac:dyDescent="0.35">
      <c r="A812" t="s">
        <v>932</v>
      </c>
      <c r="B812" t="s">
        <v>15</v>
      </c>
      <c r="C812" t="s">
        <v>27</v>
      </c>
      <c r="D812" s="1">
        <v>44941</v>
      </c>
      <c r="E812">
        <v>871</v>
      </c>
      <c r="F812">
        <v>716</v>
      </c>
      <c r="G812">
        <v>155</v>
      </c>
      <c r="H812" t="s">
        <v>12</v>
      </c>
      <c r="I812" t="s">
        <v>32</v>
      </c>
    </row>
    <row r="813" spans="1:9" x14ac:dyDescent="0.35">
      <c r="A813" t="s">
        <v>933</v>
      </c>
      <c r="B813" t="s">
        <v>221</v>
      </c>
      <c r="C813" t="s">
        <v>27</v>
      </c>
      <c r="D813" s="1">
        <v>45322</v>
      </c>
      <c r="E813">
        <v>486</v>
      </c>
      <c r="F813">
        <v>41</v>
      </c>
      <c r="G813">
        <v>445</v>
      </c>
      <c r="H813" t="s">
        <v>12</v>
      </c>
      <c r="I813" t="s">
        <v>13</v>
      </c>
    </row>
    <row r="814" spans="1:9" x14ac:dyDescent="0.35">
      <c r="A814" t="s">
        <v>934</v>
      </c>
      <c r="B814" t="s">
        <v>44</v>
      </c>
      <c r="C814" t="s">
        <v>31</v>
      </c>
      <c r="D814" s="1">
        <v>45433</v>
      </c>
      <c r="E814">
        <v>291</v>
      </c>
      <c r="F814">
        <v>35</v>
      </c>
      <c r="G814">
        <v>256</v>
      </c>
      <c r="H814" t="s">
        <v>12</v>
      </c>
      <c r="I814" t="s">
        <v>45</v>
      </c>
    </row>
    <row r="815" spans="1:9" x14ac:dyDescent="0.35">
      <c r="A815" t="s">
        <v>935</v>
      </c>
      <c r="B815" t="s">
        <v>30</v>
      </c>
      <c r="C815" t="s">
        <v>23</v>
      </c>
      <c r="D815" s="1">
        <v>45486</v>
      </c>
      <c r="E815">
        <v>908</v>
      </c>
      <c r="F815">
        <v>311</v>
      </c>
      <c r="G815">
        <v>597</v>
      </c>
      <c r="H815" t="s">
        <v>12</v>
      </c>
      <c r="I815" t="s">
        <v>32</v>
      </c>
    </row>
    <row r="816" spans="1:9" x14ac:dyDescent="0.35">
      <c r="A816" t="s">
        <v>936</v>
      </c>
      <c r="B816" t="s">
        <v>10</v>
      </c>
      <c r="C816" t="s">
        <v>31</v>
      </c>
      <c r="D816" s="1">
        <v>45296</v>
      </c>
      <c r="E816">
        <v>341</v>
      </c>
      <c r="F816">
        <v>121</v>
      </c>
      <c r="G816">
        <v>220</v>
      </c>
      <c r="H816" t="s">
        <v>12</v>
      </c>
      <c r="I816" t="s">
        <v>24</v>
      </c>
    </row>
    <row r="817" spans="1:9" x14ac:dyDescent="0.35">
      <c r="A817" t="s">
        <v>937</v>
      </c>
      <c r="B817" t="s">
        <v>263</v>
      </c>
      <c r="C817" t="s">
        <v>16</v>
      </c>
      <c r="D817" s="1">
        <v>45170</v>
      </c>
      <c r="E817">
        <v>492</v>
      </c>
      <c r="F817">
        <v>335</v>
      </c>
      <c r="G817">
        <v>157</v>
      </c>
      <c r="H817" t="s">
        <v>12</v>
      </c>
      <c r="I817" t="s">
        <v>13</v>
      </c>
    </row>
    <row r="818" spans="1:9" x14ac:dyDescent="0.35">
      <c r="A818" t="s">
        <v>938</v>
      </c>
      <c r="B818" t="s">
        <v>145</v>
      </c>
      <c r="C818" t="s">
        <v>16</v>
      </c>
      <c r="D818" s="1">
        <v>45197</v>
      </c>
      <c r="E818">
        <v>517</v>
      </c>
      <c r="F818">
        <v>134</v>
      </c>
      <c r="G818">
        <v>383</v>
      </c>
      <c r="H818" t="s">
        <v>12</v>
      </c>
      <c r="I818" t="s">
        <v>13</v>
      </c>
    </row>
    <row r="819" spans="1:9" x14ac:dyDescent="0.35">
      <c r="A819" t="s">
        <v>939</v>
      </c>
      <c r="B819" t="s">
        <v>26</v>
      </c>
      <c r="C819" t="s">
        <v>19</v>
      </c>
      <c r="D819" s="1">
        <v>44965</v>
      </c>
      <c r="E819">
        <v>855</v>
      </c>
      <c r="F819">
        <v>597</v>
      </c>
      <c r="G819">
        <v>258</v>
      </c>
      <c r="H819" t="s">
        <v>12</v>
      </c>
      <c r="I819" t="s">
        <v>32</v>
      </c>
    </row>
    <row r="820" spans="1:9" x14ac:dyDescent="0.35">
      <c r="A820" t="s">
        <v>940</v>
      </c>
      <c r="B820" t="s">
        <v>301</v>
      </c>
      <c r="C820" t="s">
        <v>11</v>
      </c>
      <c r="D820" s="1">
        <v>45301</v>
      </c>
      <c r="E820">
        <v>678</v>
      </c>
      <c r="F820">
        <v>471</v>
      </c>
      <c r="G820">
        <v>207</v>
      </c>
      <c r="H820" t="s">
        <v>12</v>
      </c>
      <c r="I820" t="s">
        <v>13</v>
      </c>
    </row>
    <row r="821" spans="1:9" x14ac:dyDescent="0.35">
      <c r="A821" t="s">
        <v>941</v>
      </c>
      <c r="B821" t="s">
        <v>36</v>
      </c>
      <c r="C821" t="s">
        <v>23</v>
      </c>
      <c r="D821" s="1">
        <v>45469</v>
      </c>
      <c r="E821">
        <v>188</v>
      </c>
      <c r="F821">
        <v>141</v>
      </c>
      <c r="G821">
        <v>47</v>
      </c>
      <c r="H821" t="s">
        <v>12</v>
      </c>
      <c r="I821" t="s">
        <v>20</v>
      </c>
    </row>
    <row r="822" spans="1:9" x14ac:dyDescent="0.35">
      <c r="A822" t="s">
        <v>942</v>
      </c>
      <c r="B822" t="s">
        <v>80</v>
      </c>
      <c r="C822" t="s">
        <v>27</v>
      </c>
      <c r="D822" s="1">
        <v>45307</v>
      </c>
      <c r="E822">
        <v>213</v>
      </c>
      <c r="F822">
        <v>60</v>
      </c>
      <c r="G822">
        <v>153</v>
      </c>
      <c r="H822" t="s">
        <v>12</v>
      </c>
      <c r="I822" t="s">
        <v>45</v>
      </c>
    </row>
    <row r="823" spans="1:9" x14ac:dyDescent="0.35">
      <c r="A823" t="s">
        <v>943</v>
      </c>
      <c r="B823" t="s">
        <v>944</v>
      </c>
      <c r="C823" t="s">
        <v>11</v>
      </c>
      <c r="D823" s="1">
        <v>45378</v>
      </c>
      <c r="E823">
        <v>435</v>
      </c>
      <c r="F823">
        <v>388</v>
      </c>
      <c r="G823">
        <v>47</v>
      </c>
      <c r="H823" t="s">
        <v>12</v>
      </c>
      <c r="I823" t="s">
        <v>32</v>
      </c>
    </row>
    <row r="824" spans="1:9" x14ac:dyDescent="0.35">
      <c r="A824" t="s">
        <v>945</v>
      </c>
      <c r="B824" t="s">
        <v>61</v>
      </c>
      <c r="C824" t="s">
        <v>16</v>
      </c>
      <c r="D824" s="1">
        <v>45093</v>
      </c>
      <c r="E824">
        <v>865</v>
      </c>
      <c r="F824">
        <v>496</v>
      </c>
      <c r="G824">
        <v>369</v>
      </c>
      <c r="H824" t="s">
        <v>12</v>
      </c>
      <c r="I824" t="s">
        <v>20</v>
      </c>
    </row>
    <row r="825" spans="1:9" x14ac:dyDescent="0.35">
      <c r="A825" t="s">
        <v>946</v>
      </c>
      <c r="B825" t="s">
        <v>125</v>
      </c>
      <c r="C825" t="s">
        <v>19</v>
      </c>
      <c r="D825" s="1">
        <v>45525</v>
      </c>
      <c r="E825">
        <v>580</v>
      </c>
      <c r="F825">
        <v>507</v>
      </c>
      <c r="G825">
        <v>73</v>
      </c>
      <c r="H825" t="s">
        <v>12</v>
      </c>
      <c r="I825" t="s">
        <v>20</v>
      </c>
    </row>
    <row r="826" spans="1:9" x14ac:dyDescent="0.35">
      <c r="A826" t="s">
        <v>947</v>
      </c>
      <c r="B826" t="s">
        <v>331</v>
      </c>
      <c r="C826" t="s">
        <v>23</v>
      </c>
      <c r="D826" s="1">
        <v>45319</v>
      </c>
      <c r="E826">
        <v>813</v>
      </c>
      <c r="F826">
        <v>417</v>
      </c>
      <c r="G826">
        <v>396</v>
      </c>
      <c r="H826" t="s">
        <v>12</v>
      </c>
      <c r="I826" t="s">
        <v>13</v>
      </c>
    </row>
    <row r="827" spans="1:9" x14ac:dyDescent="0.35">
      <c r="A827" t="s">
        <v>948</v>
      </c>
      <c r="B827" t="s">
        <v>254</v>
      </c>
      <c r="C827" t="s">
        <v>31</v>
      </c>
      <c r="D827" s="1">
        <v>45036</v>
      </c>
      <c r="E827">
        <v>225</v>
      </c>
      <c r="F827">
        <v>53</v>
      </c>
      <c r="G827">
        <v>172</v>
      </c>
      <c r="H827" t="s">
        <v>12</v>
      </c>
      <c r="I827" t="s">
        <v>28</v>
      </c>
    </row>
    <row r="828" spans="1:9" x14ac:dyDescent="0.35">
      <c r="A828" t="s">
        <v>949</v>
      </c>
      <c r="B828" t="s">
        <v>478</v>
      </c>
      <c r="C828" t="s">
        <v>27</v>
      </c>
      <c r="D828" s="1">
        <v>45311</v>
      </c>
      <c r="E828">
        <v>817</v>
      </c>
      <c r="F828">
        <v>146</v>
      </c>
      <c r="G828">
        <v>671</v>
      </c>
      <c r="H828" t="s">
        <v>12</v>
      </c>
      <c r="I828" t="s">
        <v>32</v>
      </c>
    </row>
    <row r="829" spans="1:9" x14ac:dyDescent="0.35">
      <c r="A829" t="s">
        <v>950</v>
      </c>
      <c r="B829" t="s">
        <v>106</v>
      </c>
      <c r="C829" t="s">
        <v>19</v>
      </c>
      <c r="D829" s="1">
        <v>45422</v>
      </c>
      <c r="E829">
        <v>960</v>
      </c>
      <c r="F829">
        <v>674</v>
      </c>
      <c r="G829">
        <v>286</v>
      </c>
      <c r="H829" t="s">
        <v>12</v>
      </c>
      <c r="I829" t="s">
        <v>24</v>
      </c>
    </row>
    <row r="830" spans="1:9" x14ac:dyDescent="0.35">
      <c r="A830" t="s">
        <v>951</v>
      </c>
      <c r="B830" t="s">
        <v>132</v>
      </c>
      <c r="C830" t="s">
        <v>31</v>
      </c>
      <c r="D830" s="1">
        <v>45427</v>
      </c>
      <c r="E830">
        <v>766</v>
      </c>
      <c r="F830">
        <v>394</v>
      </c>
      <c r="G830">
        <v>372</v>
      </c>
      <c r="H830" t="s">
        <v>12</v>
      </c>
      <c r="I830" t="s">
        <v>28</v>
      </c>
    </row>
    <row r="831" spans="1:9" x14ac:dyDescent="0.35">
      <c r="A831" t="s">
        <v>952</v>
      </c>
      <c r="B831" t="s">
        <v>464</v>
      </c>
      <c r="C831" t="s">
        <v>19</v>
      </c>
      <c r="D831" s="1">
        <v>45098</v>
      </c>
      <c r="E831">
        <v>868</v>
      </c>
      <c r="F831">
        <v>477</v>
      </c>
      <c r="G831">
        <v>391</v>
      </c>
      <c r="H831" t="s">
        <v>12</v>
      </c>
      <c r="I831" t="s">
        <v>24</v>
      </c>
    </row>
    <row r="832" spans="1:9" x14ac:dyDescent="0.35">
      <c r="A832" t="s">
        <v>953</v>
      </c>
      <c r="B832" t="s">
        <v>168</v>
      </c>
      <c r="C832" t="s">
        <v>19</v>
      </c>
      <c r="D832" s="1">
        <v>44929</v>
      </c>
      <c r="E832">
        <v>334</v>
      </c>
      <c r="F832">
        <v>171</v>
      </c>
      <c r="G832">
        <v>163</v>
      </c>
      <c r="H832" t="s">
        <v>12</v>
      </c>
      <c r="I832" t="s">
        <v>13</v>
      </c>
    </row>
    <row r="833" spans="1:9" x14ac:dyDescent="0.35">
      <c r="A833" t="s">
        <v>954</v>
      </c>
      <c r="B833" t="s">
        <v>424</v>
      </c>
      <c r="C833" t="s">
        <v>16</v>
      </c>
      <c r="D833" s="1">
        <v>45220</v>
      </c>
      <c r="E833">
        <v>152</v>
      </c>
      <c r="F833">
        <v>56</v>
      </c>
      <c r="G833">
        <v>96</v>
      </c>
      <c r="H833" t="s">
        <v>12</v>
      </c>
      <c r="I833" t="s">
        <v>45</v>
      </c>
    </row>
    <row r="834" spans="1:9" x14ac:dyDescent="0.35">
      <c r="A834" t="s">
        <v>955</v>
      </c>
      <c r="B834" t="s">
        <v>40</v>
      </c>
      <c r="C834" t="s">
        <v>11</v>
      </c>
      <c r="D834" s="1">
        <v>45137</v>
      </c>
      <c r="E834">
        <v>476</v>
      </c>
      <c r="F834">
        <v>29</v>
      </c>
      <c r="G834">
        <v>447</v>
      </c>
      <c r="H834" t="s">
        <v>12</v>
      </c>
      <c r="I834" t="s">
        <v>28</v>
      </c>
    </row>
    <row r="835" spans="1:9" x14ac:dyDescent="0.35">
      <c r="A835" t="s">
        <v>956</v>
      </c>
      <c r="B835" t="s">
        <v>178</v>
      </c>
      <c r="C835" t="s">
        <v>27</v>
      </c>
      <c r="D835" s="1">
        <v>45126</v>
      </c>
      <c r="E835">
        <v>292</v>
      </c>
      <c r="F835">
        <v>68</v>
      </c>
      <c r="G835">
        <v>224</v>
      </c>
      <c r="H835" t="s">
        <v>12</v>
      </c>
      <c r="I835" t="s">
        <v>28</v>
      </c>
    </row>
    <row r="836" spans="1:9" x14ac:dyDescent="0.35">
      <c r="A836" t="s">
        <v>957</v>
      </c>
      <c r="B836" t="s">
        <v>221</v>
      </c>
      <c r="C836" t="s">
        <v>19</v>
      </c>
      <c r="D836" s="1">
        <v>45223</v>
      </c>
      <c r="E836">
        <v>299</v>
      </c>
      <c r="F836">
        <v>217</v>
      </c>
      <c r="G836">
        <v>82</v>
      </c>
      <c r="H836" t="s">
        <v>12</v>
      </c>
      <c r="I836" t="s">
        <v>13</v>
      </c>
    </row>
    <row r="837" spans="1:9" x14ac:dyDescent="0.35">
      <c r="A837" t="s">
        <v>958</v>
      </c>
      <c r="B837" t="s">
        <v>244</v>
      </c>
      <c r="C837" t="s">
        <v>27</v>
      </c>
      <c r="D837" s="1">
        <v>45017</v>
      </c>
      <c r="E837">
        <v>912</v>
      </c>
      <c r="F837">
        <v>433</v>
      </c>
      <c r="G837">
        <v>479</v>
      </c>
      <c r="H837" t="s">
        <v>12</v>
      </c>
      <c r="I837" t="s">
        <v>32</v>
      </c>
    </row>
    <row r="838" spans="1:9" x14ac:dyDescent="0.35">
      <c r="A838" t="s">
        <v>959</v>
      </c>
      <c r="B838" t="s">
        <v>265</v>
      </c>
      <c r="C838" t="s">
        <v>31</v>
      </c>
      <c r="D838" s="1">
        <v>45166</v>
      </c>
      <c r="E838">
        <v>442</v>
      </c>
      <c r="F838">
        <v>430</v>
      </c>
      <c r="G838">
        <v>12</v>
      </c>
      <c r="H838" t="s">
        <v>12</v>
      </c>
      <c r="I838" t="s">
        <v>45</v>
      </c>
    </row>
    <row r="839" spans="1:9" x14ac:dyDescent="0.35">
      <c r="A839" t="s">
        <v>960</v>
      </c>
      <c r="B839" t="s">
        <v>59</v>
      </c>
      <c r="C839" t="s">
        <v>16</v>
      </c>
      <c r="D839" s="1">
        <v>45411</v>
      </c>
      <c r="E839">
        <v>696</v>
      </c>
      <c r="F839">
        <v>624</v>
      </c>
      <c r="G839">
        <v>72</v>
      </c>
      <c r="H839" t="s">
        <v>12</v>
      </c>
      <c r="I839" t="s">
        <v>32</v>
      </c>
    </row>
    <row r="840" spans="1:9" x14ac:dyDescent="0.35">
      <c r="A840" t="s">
        <v>961</v>
      </c>
      <c r="B840" t="s">
        <v>54</v>
      </c>
      <c r="C840" t="s">
        <v>19</v>
      </c>
      <c r="D840" s="1">
        <v>45325</v>
      </c>
      <c r="E840">
        <v>821</v>
      </c>
      <c r="F840">
        <v>601</v>
      </c>
      <c r="G840">
        <v>220</v>
      </c>
      <c r="H840" t="s">
        <v>12</v>
      </c>
      <c r="I840" t="s">
        <v>45</v>
      </c>
    </row>
    <row r="841" spans="1:9" x14ac:dyDescent="0.35">
      <c r="A841" t="s">
        <v>962</v>
      </c>
      <c r="B841" t="s">
        <v>150</v>
      </c>
      <c r="C841" t="s">
        <v>11</v>
      </c>
      <c r="D841" s="1">
        <v>45197</v>
      </c>
      <c r="E841">
        <v>332</v>
      </c>
      <c r="F841">
        <v>7</v>
      </c>
      <c r="G841">
        <v>325</v>
      </c>
      <c r="H841" t="s">
        <v>12</v>
      </c>
      <c r="I841" t="s">
        <v>13</v>
      </c>
    </row>
    <row r="842" spans="1:9" x14ac:dyDescent="0.35">
      <c r="A842" t="s">
        <v>963</v>
      </c>
      <c r="B842" t="s">
        <v>400</v>
      </c>
      <c r="C842" t="s">
        <v>19</v>
      </c>
      <c r="D842" s="1">
        <v>45373</v>
      </c>
      <c r="E842">
        <v>356</v>
      </c>
      <c r="F842">
        <v>91</v>
      </c>
      <c r="G842">
        <v>265</v>
      </c>
      <c r="H842" t="s">
        <v>12</v>
      </c>
      <c r="I842" t="s">
        <v>45</v>
      </c>
    </row>
    <row r="843" spans="1:9" x14ac:dyDescent="0.35">
      <c r="A843" t="s">
        <v>964</v>
      </c>
      <c r="B843" t="s">
        <v>265</v>
      </c>
      <c r="C843" t="s">
        <v>19</v>
      </c>
      <c r="D843" s="1">
        <v>44991</v>
      </c>
      <c r="E843">
        <v>185</v>
      </c>
      <c r="F843">
        <v>11</v>
      </c>
      <c r="G843">
        <v>174</v>
      </c>
      <c r="H843" t="s">
        <v>12</v>
      </c>
      <c r="I843" t="s">
        <v>28</v>
      </c>
    </row>
    <row r="844" spans="1:9" x14ac:dyDescent="0.35">
      <c r="A844" t="s">
        <v>965</v>
      </c>
      <c r="B844" t="s">
        <v>322</v>
      </c>
      <c r="C844" t="s">
        <v>11</v>
      </c>
      <c r="D844" s="1">
        <v>44927</v>
      </c>
      <c r="E844">
        <v>852</v>
      </c>
      <c r="F844">
        <v>437</v>
      </c>
      <c r="G844">
        <v>415</v>
      </c>
      <c r="H844" t="s">
        <v>12</v>
      </c>
      <c r="I844" t="s">
        <v>32</v>
      </c>
    </row>
    <row r="845" spans="1:9" x14ac:dyDescent="0.35">
      <c r="A845" t="s">
        <v>966</v>
      </c>
      <c r="B845" t="s">
        <v>322</v>
      </c>
      <c r="C845" t="s">
        <v>31</v>
      </c>
      <c r="D845" s="1">
        <v>45518</v>
      </c>
      <c r="E845">
        <v>741</v>
      </c>
      <c r="F845">
        <v>492</v>
      </c>
      <c r="G845">
        <v>249</v>
      </c>
      <c r="H845" t="s">
        <v>12</v>
      </c>
      <c r="I845" t="s">
        <v>45</v>
      </c>
    </row>
    <row r="846" spans="1:9" x14ac:dyDescent="0.35">
      <c r="A846" t="s">
        <v>967</v>
      </c>
      <c r="B846" t="s">
        <v>109</v>
      </c>
      <c r="C846" t="s">
        <v>31</v>
      </c>
      <c r="D846" s="1">
        <v>45145</v>
      </c>
      <c r="E846">
        <v>972</v>
      </c>
      <c r="F846">
        <v>867</v>
      </c>
      <c r="G846">
        <v>105</v>
      </c>
      <c r="H846" t="s">
        <v>12</v>
      </c>
      <c r="I846" t="s">
        <v>20</v>
      </c>
    </row>
    <row r="847" spans="1:9" x14ac:dyDescent="0.35">
      <c r="A847" t="s">
        <v>968</v>
      </c>
      <c r="B847" t="s">
        <v>424</v>
      </c>
      <c r="C847" t="s">
        <v>11</v>
      </c>
      <c r="D847" s="1">
        <v>45313</v>
      </c>
      <c r="E847">
        <v>351</v>
      </c>
      <c r="F847">
        <v>107</v>
      </c>
      <c r="G847">
        <v>244</v>
      </c>
      <c r="H847" t="s">
        <v>12</v>
      </c>
      <c r="I847" t="s">
        <v>45</v>
      </c>
    </row>
    <row r="848" spans="1:9" x14ac:dyDescent="0.35">
      <c r="A848" t="s">
        <v>969</v>
      </c>
      <c r="B848" t="s">
        <v>56</v>
      </c>
      <c r="C848" t="s">
        <v>11</v>
      </c>
      <c r="D848" s="1">
        <v>45085</v>
      </c>
      <c r="E848">
        <v>254</v>
      </c>
      <c r="F848">
        <v>162</v>
      </c>
      <c r="G848">
        <v>92</v>
      </c>
      <c r="H848" t="s">
        <v>12</v>
      </c>
      <c r="I848" t="s">
        <v>24</v>
      </c>
    </row>
    <row r="849" spans="1:9" x14ac:dyDescent="0.35">
      <c r="A849" t="s">
        <v>970</v>
      </c>
      <c r="B849" t="s">
        <v>478</v>
      </c>
      <c r="C849" t="s">
        <v>31</v>
      </c>
      <c r="D849" s="1">
        <v>45269</v>
      </c>
      <c r="E849">
        <v>580</v>
      </c>
      <c r="F849">
        <v>461</v>
      </c>
      <c r="G849">
        <v>119</v>
      </c>
      <c r="H849" t="s">
        <v>12</v>
      </c>
      <c r="I849" t="s">
        <v>20</v>
      </c>
    </row>
    <row r="850" spans="1:9" x14ac:dyDescent="0.35">
      <c r="A850" t="s">
        <v>971</v>
      </c>
      <c r="B850" t="s">
        <v>206</v>
      </c>
      <c r="C850" t="s">
        <v>16</v>
      </c>
      <c r="D850" s="1">
        <v>45372</v>
      </c>
      <c r="E850">
        <v>779</v>
      </c>
      <c r="F850">
        <v>461</v>
      </c>
      <c r="G850">
        <v>318</v>
      </c>
      <c r="H850" t="s">
        <v>12</v>
      </c>
      <c r="I850" t="s">
        <v>20</v>
      </c>
    </row>
    <row r="851" spans="1:9" x14ac:dyDescent="0.35">
      <c r="A851" t="s">
        <v>972</v>
      </c>
      <c r="B851" t="s">
        <v>132</v>
      </c>
      <c r="C851" t="s">
        <v>23</v>
      </c>
      <c r="D851" s="1">
        <v>44965</v>
      </c>
      <c r="E851">
        <v>117</v>
      </c>
      <c r="F851">
        <v>8</v>
      </c>
      <c r="G851">
        <v>109</v>
      </c>
      <c r="H851" t="s">
        <v>12</v>
      </c>
      <c r="I851" t="s">
        <v>20</v>
      </c>
    </row>
    <row r="852" spans="1:9" x14ac:dyDescent="0.35">
      <c r="A852" t="s">
        <v>973</v>
      </c>
      <c r="B852" t="s">
        <v>418</v>
      </c>
      <c r="C852" t="s">
        <v>23</v>
      </c>
      <c r="D852" s="1">
        <v>45467</v>
      </c>
      <c r="E852">
        <v>425</v>
      </c>
      <c r="F852">
        <v>313</v>
      </c>
      <c r="G852">
        <v>112</v>
      </c>
      <c r="H852" t="s">
        <v>12</v>
      </c>
      <c r="I852" t="s">
        <v>13</v>
      </c>
    </row>
    <row r="853" spans="1:9" x14ac:dyDescent="0.35">
      <c r="A853" t="s">
        <v>974</v>
      </c>
      <c r="B853" t="s">
        <v>171</v>
      </c>
      <c r="C853" t="s">
        <v>11</v>
      </c>
      <c r="D853" s="1">
        <v>45101</v>
      </c>
      <c r="E853">
        <v>217</v>
      </c>
      <c r="F853">
        <v>163</v>
      </c>
      <c r="G853">
        <v>54</v>
      </c>
      <c r="H853" t="s">
        <v>12</v>
      </c>
      <c r="I853" t="s">
        <v>24</v>
      </c>
    </row>
    <row r="854" spans="1:9" x14ac:dyDescent="0.35">
      <c r="A854" t="s">
        <v>975</v>
      </c>
      <c r="B854" t="s">
        <v>418</v>
      </c>
      <c r="C854" t="s">
        <v>23</v>
      </c>
      <c r="D854" s="1">
        <v>45163</v>
      </c>
      <c r="E854">
        <v>323</v>
      </c>
      <c r="F854">
        <v>13</v>
      </c>
      <c r="G854">
        <v>310</v>
      </c>
      <c r="H854" t="s">
        <v>12</v>
      </c>
      <c r="I854" t="s">
        <v>13</v>
      </c>
    </row>
    <row r="855" spans="1:9" x14ac:dyDescent="0.35">
      <c r="A855" t="s">
        <v>976</v>
      </c>
      <c r="B855" t="s">
        <v>115</v>
      </c>
      <c r="C855" t="s">
        <v>31</v>
      </c>
      <c r="D855" s="1">
        <v>45162</v>
      </c>
      <c r="E855">
        <v>521</v>
      </c>
      <c r="F855">
        <v>377</v>
      </c>
      <c r="G855">
        <v>144</v>
      </c>
      <c r="H855" t="s">
        <v>12</v>
      </c>
      <c r="I855" t="s">
        <v>13</v>
      </c>
    </row>
    <row r="856" spans="1:9" x14ac:dyDescent="0.35">
      <c r="A856" t="s">
        <v>977</v>
      </c>
      <c r="B856" t="s">
        <v>132</v>
      </c>
      <c r="C856" t="s">
        <v>19</v>
      </c>
      <c r="D856" s="1">
        <v>45517</v>
      </c>
      <c r="E856">
        <v>465</v>
      </c>
      <c r="F856">
        <v>242</v>
      </c>
      <c r="G856">
        <v>223</v>
      </c>
      <c r="H856" t="s">
        <v>12</v>
      </c>
      <c r="I856" t="s">
        <v>28</v>
      </c>
    </row>
    <row r="857" spans="1:9" x14ac:dyDescent="0.35">
      <c r="A857" t="s">
        <v>978</v>
      </c>
      <c r="B857" t="s">
        <v>115</v>
      </c>
      <c r="C857" t="s">
        <v>31</v>
      </c>
      <c r="D857" s="1">
        <v>45007</v>
      </c>
      <c r="E857">
        <v>974</v>
      </c>
      <c r="F857">
        <v>945</v>
      </c>
      <c r="G857">
        <v>29</v>
      </c>
      <c r="H857" t="s">
        <v>12</v>
      </c>
      <c r="I857" t="s">
        <v>20</v>
      </c>
    </row>
    <row r="858" spans="1:9" x14ac:dyDescent="0.35">
      <c r="A858" t="s">
        <v>979</v>
      </c>
      <c r="B858" t="s">
        <v>10</v>
      </c>
      <c r="C858" t="s">
        <v>31</v>
      </c>
      <c r="D858" s="1">
        <v>45445</v>
      </c>
      <c r="E858">
        <v>468</v>
      </c>
      <c r="F858">
        <v>332</v>
      </c>
      <c r="G858">
        <v>136</v>
      </c>
      <c r="H858" t="s">
        <v>12</v>
      </c>
      <c r="I858" t="s">
        <v>24</v>
      </c>
    </row>
    <row r="859" spans="1:9" x14ac:dyDescent="0.35">
      <c r="A859" t="s">
        <v>980</v>
      </c>
      <c r="B859" t="s">
        <v>424</v>
      </c>
      <c r="C859" t="s">
        <v>16</v>
      </c>
      <c r="D859" s="1">
        <v>45120</v>
      </c>
      <c r="E859">
        <v>379</v>
      </c>
      <c r="F859">
        <v>228</v>
      </c>
      <c r="G859">
        <v>151</v>
      </c>
      <c r="H859" t="s">
        <v>12</v>
      </c>
      <c r="I859" t="s">
        <v>32</v>
      </c>
    </row>
    <row r="860" spans="1:9" x14ac:dyDescent="0.35">
      <c r="A860" t="s">
        <v>981</v>
      </c>
      <c r="B860" t="s">
        <v>30</v>
      </c>
      <c r="C860" t="s">
        <v>31</v>
      </c>
      <c r="D860" s="1">
        <v>45454</v>
      </c>
      <c r="E860">
        <v>363</v>
      </c>
      <c r="F860">
        <v>132</v>
      </c>
      <c r="G860">
        <v>231</v>
      </c>
      <c r="H860" t="s">
        <v>12</v>
      </c>
      <c r="I860" t="s">
        <v>32</v>
      </c>
    </row>
    <row r="861" spans="1:9" x14ac:dyDescent="0.35">
      <c r="A861" t="s">
        <v>982</v>
      </c>
      <c r="B861" t="s">
        <v>70</v>
      </c>
      <c r="C861" t="s">
        <v>27</v>
      </c>
      <c r="D861" s="1">
        <v>45097</v>
      </c>
      <c r="E861">
        <v>819</v>
      </c>
      <c r="F861">
        <v>686</v>
      </c>
      <c r="G861">
        <v>133</v>
      </c>
      <c r="H861" t="s">
        <v>12</v>
      </c>
      <c r="I861" t="s">
        <v>13</v>
      </c>
    </row>
    <row r="862" spans="1:9" x14ac:dyDescent="0.35">
      <c r="A862" t="s">
        <v>983</v>
      </c>
      <c r="B862" t="s">
        <v>136</v>
      </c>
      <c r="C862" t="s">
        <v>31</v>
      </c>
      <c r="D862" s="1">
        <v>45180</v>
      </c>
      <c r="E862">
        <v>306</v>
      </c>
      <c r="F862">
        <v>92</v>
      </c>
      <c r="G862">
        <v>214</v>
      </c>
      <c r="H862" t="s">
        <v>12</v>
      </c>
      <c r="I862" t="s">
        <v>28</v>
      </c>
    </row>
    <row r="863" spans="1:9" x14ac:dyDescent="0.35">
      <c r="A863" t="s">
        <v>984</v>
      </c>
      <c r="B863" t="s">
        <v>171</v>
      </c>
      <c r="C863" t="s">
        <v>11</v>
      </c>
      <c r="D863" s="1">
        <v>45063</v>
      </c>
      <c r="E863">
        <v>227</v>
      </c>
      <c r="F863">
        <v>81</v>
      </c>
      <c r="G863">
        <v>146</v>
      </c>
      <c r="H863" t="s">
        <v>12</v>
      </c>
      <c r="I863" t="s">
        <v>13</v>
      </c>
    </row>
    <row r="864" spans="1:9" x14ac:dyDescent="0.35">
      <c r="A864" t="s">
        <v>985</v>
      </c>
      <c r="B864" t="s">
        <v>337</v>
      </c>
      <c r="C864" t="s">
        <v>19</v>
      </c>
      <c r="D864" s="1">
        <v>45088</v>
      </c>
      <c r="E864">
        <v>367</v>
      </c>
      <c r="F864">
        <v>166</v>
      </c>
      <c r="G864">
        <v>201</v>
      </c>
      <c r="H864" t="s">
        <v>12</v>
      </c>
      <c r="I864" t="s">
        <v>32</v>
      </c>
    </row>
    <row r="865" spans="1:9" x14ac:dyDescent="0.35">
      <c r="A865" t="s">
        <v>986</v>
      </c>
      <c r="B865" t="s">
        <v>337</v>
      </c>
      <c r="C865" t="s">
        <v>19</v>
      </c>
      <c r="D865" s="1">
        <v>45002</v>
      </c>
      <c r="E865">
        <v>327</v>
      </c>
      <c r="F865">
        <v>61</v>
      </c>
      <c r="G865">
        <v>266</v>
      </c>
      <c r="H865" t="s">
        <v>12</v>
      </c>
      <c r="I865" t="s">
        <v>28</v>
      </c>
    </row>
    <row r="866" spans="1:9" x14ac:dyDescent="0.35">
      <c r="A866" t="s">
        <v>987</v>
      </c>
      <c r="B866" t="s">
        <v>22</v>
      </c>
      <c r="C866" t="s">
        <v>19</v>
      </c>
      <c r="D866" s="1">
        <v>45339</v>
      </c>
      <c r="E866">
        <v>614</v>
      </c>
      <c r="F866">
        <v>165</v>
      </c>
      <c r="G866">
        <v>449</v>
      </c>
      <c r="H866" t="s">
        <v>12</v>
      </c>
      <c r="I866" t="s">
        <v>28</v>
      </c>
    </row>
    <row r="867" spans="1:9" x14ac:dyDescent="0.35">
      <c r="A867" t="s">
        <v>988</v>
      </c>
      <c r="B867" t="s">
        <v>106</v>
      </c>
      <c r="C867" t="s">
        <v>23</v>
      </c>
      <c r="D867" s="1">
        <v>45004</v>
      </c>
      <c r="E867">
        <v>634</v>
      </c>
      <c r="F867">
        <v>438</v>
      </c>
      <c r="G867">
        <v>196</v>
      </c>
      <c r="H867" t="s">
        <v>12</v>
      </c>
      <c r="I867" t="s">
        <v>32</v>
      </c>
    </row>
    <row r="868" spans="1:9" x14ac:dyDescent="0.35">
      <c r="A868" t="s">
        <v>989</v>
      </c>
      <c r="B868" t="s">
        <v>469</v>
      </c>
      <c r="C868" t="s">
        <v>16</v>
      </c>
      <c r="D868" s="1">
        <v>45040</v>
      </c>
      <c r="E868">
        <v>906</v>
      </c>
      <c r="F868">
        <v>717</v>
      </c>
      <c r="G868">
        <v>189</v>
      </c>
      <c r="H868" t="s">
        <v>12</v>
      </c>
      <c r="I868" t="s">
        <v>24</v>
      </c>
    </row>
    <row r="869" spans="1:9" x14ac:dyDescent="0.35">
      <c r="A869" t="s">
        <v>990</v>
      </c>
      <c r="B869" t="s">
        <v>206</v>
      </c>
      <c r="C869" t="s">
        <v>16</v>
      </c>
      <c r="D869" s="1">
        <v>45246</v>
      </c>
      <c r="E869">
        <v>837</v>
      </c>
      <c r="F869">
        <v>709</v>
      </c>
      <c r="G869">
        <v>128</v>
      </c>
      <c r="H869" t="s">
        <v>12</v>
      </c>
      <c r="I869" t="s">
        <v>20</v>
      </c>
    </row>
    <row r="870" spans="1:9" x14ac:dyDescent="0.35">
      <c r="A870" t="s">
        <v>991</v>
      </c>
      <c r="B870" t="s">
        <v>259</v>
      </c>
      <c r="C870" t="s">
        <v>19</v>
      </c>
      <c r="D870" s="1">
        <v>45159</v>
      </c>
      <c r="E870">
        <v>113</v>
      </c>
      <c r="F870">
        <v>81</v>
      </c>
      <c r="G870">
        <v>32</v>
      </c>
      <c r="H870" t="s">
        <v>12</v>
      </c>
      <c r="I870" t="s">
        <v>28</v>
      </c>
    </row>
    <row r="871" spans="1:9" x14ac:dyDescent="0.35">
      <c r="A871" t="s">
        <v>992</v>
      </c>
      <c r="B871" t="s">
        <v>269</v>
      </c>
      <c r="C871" t="s">
        <v>31</v>
      </c>
      <c r="D871" s="1">
        <v>45040</v>
      </c>
      <c r="E871">
        <v>876</v>
      </c>
      <c r="F871">
        <v>422</v>
      </c>
      <c r="G871">
        <v>454</v>
      </c>
      <c r="H871" t="s">
        <v>12</v>
      </c>
      <c r="I871" t="s">
        <v>13</v>
      </c>
    </row>
    <row r="872" spans="1:9" x14ac:dyDescent="0.35">
      <c r="A872" t="s">
        <v>993</v>
      </c>
      <c r="B872" t="s">
        <v>384</v>
      </c>
      <c r="C872" t="s">
        <v>19</v>
      </c>
      <c r="D872" s="1">
        <v>45047</v>
      </c>
      <c r="E872">
        <v>909</v>
      </c>
      <c r="F872">
        <v>597</v>
      </c>
      <c r="G872">
        <v>312</v>
      </c>
      <c r="H872" t="s">
        <v>12</v>
      </c>
      <c r="I872" t="s">
        <v>28</v>
      </c>
    </row>
    <row r="873" spans="1:9" x14ac:dyDescent="0.35">
      <c r="A873" t="s">
        <v>994</v>
      </c>
      <c r="B873" t="s">
        <v>113</v>
      </c>
      <c r="C873" t="s">
        <v>16</v>
      </c>
      <c r="D873" s="1">
        <v>44938</v>
      </c>
      <c r="E873">
        <v>985</v>
      </c>
      <c r="F873">
        <v>500</v>
      </c>
      <c r="G873">
        <v>485</v>
      </c>
      <c r="H873" t="s">
        <v>12</v>
      </c>
      <c r="I873" t="s">
        <v>20</v>
      </c>
    </row>
    <row r="874" spans="1:9" x14ac:dyDescent="0.35">
      <c r="A874" t="s">
        <v>995</v>
      </c>
      <c r="B874" t="s">
        <v>269</v>
      </c>
      <c r="C874" t="s">
        <v>23</v>
      </c>
      <c r="D874" s="1">
        <v>44993</v>
      </c>
      <c r="E874">
        <v>887</v>
      </c>
      <c r="F874">
        <v>423</v>
      </c>
      <c r="G874">
        <v>464</v>
      </c>
      <c r="H874" t="s">
        <v>12</v>
      </c>
      <c r="I874" t="s">
        <v>13</v>
      </c>
    </row>
    <row r="875" spans="1:9" x14ac:dyDescent="0.35">
      <c r="A875" t="s">
        <v>996</v>
      </c>
      <c r="B875" t="s">
        <v>34</v>
      </c>
      <c r="C875" t="s">
        <v>31</v>
      </c>
      <c r="D875" s="1">
        <v>45346</v>
      </c>
      <c r="E875">
        <v>134</v>
      </c>
      <c r="F875">
        <v>68</v>
      </c>
      <c r="G875">
        <v>66</v>
      </c>
      <c r="H875" t="s">
        <v>12</v>
      </c>
      <c r="I875" t="s">
        <v>24</v>
      </c>
    </row>
    <row r="876" spans="1:9" x14ac:dyDescent="0.35">
      <c r="A876" t="s">
        <v>997</v>
      </c>
      <c r="B876" t="s">
        <v>161</v>
      </c>
      <c r="C876" t="s">
        <v>19</v>
      </c>
      <c r="D876" s="1">
        <v>45421</v>
      </c>
      <c r="E876">
        <v>982</v>
      </c>
      <c r="F876">
        <v>399</v>
      </c>
      <c r="G876">
        <v>583</v>
      </c>
      <c r="H876" t="s">
        <v>12</v>
      </c>
      <c r="I876" t="s">
        <v>13</v>
      </c>
    </row>
    <row r="877" spans="1:9" x14ac:dyDescent="0.35">
      <c r="A877" t="s">
        <v>998</v>
      </c>
      <c r="B877" t="s">
        <v>138</v>
      </c>
      <c r="C877" t="s">
        <v>11</v>
      </c>
      <c r="D877" s="1">
        <v>44936</v>
      </c>
      <c r="E877">
        <v>303</v>
      </c>
      <c r="F877">
        <v>225</v>
      </c>
      <c r="G877">
        <v>78</v>
      </c>
      <c r="H877" t="s">
        <v>12</v>
      </c>
      <c r="I877" t="s">
        <v>45</v>
      </c>
    </row>
    <row r="878" spans="1:9" x14ac:dyDescent="0.35">
      <c r="A878" t="s">
        <v>999</v>
      </c>
      <c r="B878" t="s">
        <v>276</v>
      </c>
      <c r="C878" t="s">
        <v>23</v>
      </c>
      <c r="D878" s="1">
        <v>45066</v>
      </c>
      <c r="E878">
        <v>884</v>
      </c>
      <c r="F878">
        <v>455</v>
      </c>
      <c r="G878">
        <v>429</v>
      </c>
      <c r="H878" t="s">
        <v>12</v>
      </c>
      <c r="I878" t="s">
        <v>13</v>
      </c>
    </row>
    <row r="879" spans="1:9" x14ac:dyDescent="0.35">
      <c r="A879" t="s">
        <v>1000</v>
      </c>
      <c r="B879" t="s">
        <v>150</v>
      </c>
      <c r="C879" t="s">
        <v>27</v>
      </c>
      <c r="D879" s="1">
        <v>44949</v>
      </c>
      <c r="E879">
        <v>595</v>
      </c>
      <c r="F879">
        <v>438</v>
      </c>
      <c r="G879">
        <v>157</v>
      </c>
      <c r="H879" t="s">
        <v>12</v>
      </c>
      <c r="I879" t="s">
        <v>28</v>
      </c>
    </row>
    <row r="880" spans="1:9" x14ac:dyDescent="0.35">
      <c r="A880" t="s">
        <v>1001</v>
      </c>
      <c r="B880" t="s">
        <v>42</v>
      </c>
      <c r="C880" t="s">
        <v>11</v>
      </c>
      <c r="D880" s="1">
        <v>45394</v>
      </c>
      <c r="E880">
        <v>562</v>
      </c>
      <c r="F880">
        <v>212</v>
      </c>
      <c r="G880">
        <v>350</v>
      </c>
      <c r="H880" t="s">
        <v>12</v>
      </c>
      <c r="I880" t="s">
        <v>45</v>
      </c>
    </row>
    <row r="881" spans="1:9" x14ac:dyDescent="0.35">
      <c r="A881" t="s">
        <v>1002</v>
      </c>
      <c r="B881" t="s">
        <v>265</v>
      </c>
      <c r="C881" t="s">
        <v>16</v>
      </c>
      <c r="D881" s="1">
        <v>45409</v>
      </c>
      <c r="E881">
        <v>466</v>
      </c>
      <c r="F881">
        <v>82</v>
      </c>
      <c r="G881">
        <v>384</v>
      </c>
      <c r="H881" t="s">
        <v>12</v>
      </c>
      <c r="I881" t="s">
        <v>13</v>
      </c>
    </row>
    <row r="882" spans="1:9" x14ac:dyDescent="0.35">
      <c r="A882" t="s">
        <v>1003</v>
      </c>
      <c r="B882" t="s">
        <v>50</v>
      </c>
      <c r="C882" t="s">
        <v>11</v>
      </c>
      <c r="D882" s="1">
        <v>45263</v>
      </c>
      <c r="E882">
        <v>829</v>
      </c>
      <c r="F882">
        <v>60</v>
      </c>
      <c r="G882">
        <v>769</v>
      </c>
      <c r="H882" t="s">
        <v>12</v>
      </c>
      <c r="I882" t="s">
        <v>24</v>
      </c>
    </row>
    <row r="883" spans="1:9" x14ac:dyDescent="0.35">
      <c r="A883" t="s">
        <v>1004</v>
      </c>
      <c r="B883" t="s">
        <v>189</v>
      </c>
      <c r="C883" t="s">
        <v>19</v>
      </c>
      <c r="D883" s="1">
        <v>45358</v>
      </c>
      <c r="E883">
        <v>192</v>
      </c>
      <c r="F883">
        <v>13</v>
      </c>
      <c r="G883">
        <v>179</v>
      </c>
      <c r="H883" t="s">
        <v>12</v>
      </c>
      <c r="I883" t="s">
        <v>45</v>
      </c>
    </row>
    <row r="884" spans="1:9" x14ac:dyDescent="0.35">
      <c r="A884" t="s">
        <v>1005</v>
      </c>
      <c r="B884" t="s">
        <v>206</v>
      </c>
      <c r="C884" t="s">
        <v>11</v>
      </c>
      <c r="D884" s="1">
        <v>45423</v>
      </c>
      <c r="E884">
        <v>521</v>
      </c>
      <c r="F884">
        <v>53</v>
      </c>
      <c r="G884">
        <v>468</v>
      </c>
      <c r="H884" t="s">
        <v>12</v>
      </c>
      <c r="I884" t="s">
        <v>28</v>
      </c>
    </row>
    <row r="885" spans="1:9" x14ac:dyDescent="0.35">
      <c r="A885" t="s">
        <v>1006</v>
      </c>
      <c r="B885" t="s">
        <v>171</v>
      </c>
      <c r="C885" t="s">
        <v>11</v>
      </c>
      <c r="D885" s="1">
        <v>45389</v>
      </c>
      <c r="E885">
        <v>239</v>
      </c>
      <c r="F885">
        <v>53</v>
      </c>
      <c r="G885">
        <v>186</v>
      </c>
      <c r="H885" t="s">
        <v>12</v>
      </c>
      <c r="I885" t="s">
        <v>45</v>
      </c>
    </row>
    <row r="886" spans="1:9" x14ac:dyDescent="0.35">
      <c r="A886" t="s">
        <v>1007</v>
      </c>
      <c r="B886" t="s">
        <v>65</v>
      </c>
      <c r="C886" t="s">
        <v>19</v>
      </c>
      <c r="D886" s="1">
        <v>45397</v>
      </c>
      <c r="E886">
        <v>283</v>
      </c>
      <c r="F886">
        <v>269</v>
      </c>
      <c r="G886">
        <v>14</v>
      </c>
      <c r="H886" t="s">
        <v>12</v>
      </c>
      <c r="I886" t="s">
        <v>32</v>
      </c>
    </row>
    <row r="887" spans="1:9" x14ac:dyDescent="0.35">
      <c r="A887" t="s">
        <v>1008</v>
      </c>
      <c r="B887" t="s">
        <v>189</v>
      </c>
      <c r="C887" t="s">
        <v>16</v>
      </c>
      <c r="D887" s="1">
        <v>45341</v>
      </c>
      <c r="E887">
        <v>175</v>
      </c>
      <c r="F887">
        <v>19</v>
      </c>
      <c r="G887">
        <v>156</v>
      </c>
      <c r="H887" t="s">
        <v>12</v>
      </c>
      <c r="I887" t="s">
        <v>13</v>
      </c>
    </row>
    <row r="888" spans="1:9" x14ac:dyDescent="0.35">
      <c r="A888" t="s">
        <v>1009</v>
      </c>
      <c r="B888" t="s">
        <v>301</v>
      </c>
      <c r="C888" t="s">
        <v>23</v>
      </c>
      <c r="D888" s="1">
        <v>45418</v>
      </c>
      <c r="E888">
        <v>851</v>
      </c>
      <c r="F888">
        <v>415</v>
      </c>
      <c r="G888">
        <v>436</v>
      </c>
      <c r="H888" t="s">
        <v>12</v>
      </c>
      <c r="I888" t="s">
        <v>20</v>
      </c>
    </row>
    <row r="889" spans="1:9" x14ac:dyDescent="0.35">
      <c r="A889" t="s">
        <v>1010</v>
      </c>
      <c r="B889" t="s">
        <v>78</v>
      </c>
      <c r="C889" t="s">
        <v>16</v>
      </c>
      <c r="D889" s="1">
        <v>45075</v>
      </c>
      <c r="E889">
        <v>267</v>
      </c>
      <c r="F889">
        <v>138</v>
      </c>
      <c r="G889">
        <v>129</v>
      </c>
      <c r="H889" t="s">
        <v>12</v>
      </c>
      <c r="I889" t="s">
        <v>45</v>
      </c>
    </row>
    <row r="890" spans="1:9" x14ac:dyDescent="0.35">
      <c r="A890" t="s">
        <v>1011</v>
      </c>
      <c r="B890" t="s">
        <v>118</v>
      </c>
      <c r="C890" t="s">
        <v>16</v>
      </c>
      <c r="D890" s="1">
        <v>45226</v>
      </c>
      <c r="E890">
        <v>323</v>
      </c>
      <c r="F890">
        <v>6</v>
      </c>
      <c r="G890">
        <v>317</v>
      </c>
      <c r="H890" t="s">
        <v>12</v>
      </c>
      <c r="I890" t="s">
        <v>45</v>
      </c>
    </row>
    <row r="891" spans="1:9" x14ac:dyDescent="0.35">
      <c r="A891" t="s">
        <v>1012</v>
      </c>
      <c r="B891" t="s">
        <v>944</v>
      </c>
      <c r="C891" t="s">
        <v>27</v>
      </c>
      <c r="D891" s="1">
        <v>45175</v>
      </c>
      <c r="E891">
        <v>130</v>
      </c>
      <c r="F891">
        <v>80</v>
      </c>
      <c r="G891">
        <v>50</v>
      </c>
      <c r="H891" t="s">
        <v>12</v>
      </c>
      <c r="I891" t="s">
        <v>32</v>
      </c>
    </row>
    <row r="892" spans="1:9" x14ac:dyDescent="0.35">
      <c r="A892" t="s">
        <v>1013</v>
      </c>
      <c r="B892" t="s">
        <v>10</v>
      </c>
      <c r="C892" t="s">
        <v>27</v>
      </c>
      <c r="D892" s="1">
        <v>45107</v>
      </c>
      <c r="E892">
        <v>611</v>
      </c>
      <c r="F892">
        <v>384</v>
      </c>
      <c r="G892">
        <v>227</v>
      </c>
      <c r="H892" t="s">
        <v>12</v>
      </c>
      <c r="I892" t="s">
        <v>20</v>
      </c>
    </row>
    <row r="893" spans="1:9" x14ac:dyDescent="0.35">
      <c r="A893" t="s">
        <v>1014</v>
      </c>
      <c r="B893" t="s">
        <v>301</v>
      </c>
      <c r="C893" t="s">
        <v>11</v>
      </c>
      <c r="D893" s="1">
        <v>45435</v>
      </c>
      <c r="E893">
        <v>224</v>
      </c>
      <c r="F893">
        <v>61</v>
      </c>
      <c r="G893">
        <v>163</v>
      </c>
      <c r="H893" t="s">
        <v>12</v>
      </c>
      <c r="I893" t="s">
        <v>13</v>
      </c>
    </row>
    <row r="894" spans="1:9" x14ac:dyDescent="0.35">
      <c r="A894" t="s">
        <v>1015</v>
      </c>
      <c r="B894" t="s">
        <v>136</v>
      </c>
      <c r="C894" t="s">
        <v>23</v>
      </c>
      <c r="D894" s="1">
        <v>45165</v>
      </c>
      <c r="E894">
        <v>673</v>
      </c>
      <c r="F894">
        <v>194</v>
      </c>
      <c r="G894">
        <v>479</v>
      </c>
      <c r="H894" t="s">
        <v>12</v>
      </c>
      <c r="I894" t="s">
        <v>20</v>
      </c>
    </row>
    <row r="895" spans="1:9" x14ac:dyDescent="0.35">
      <c r="A895" t="s">
        <v>1016</v>
      </c>
      <c r="B895" t="s">
        <v>184</v>
      </c>
      <c r="C895" t="s">
        <v>31</v>
      </c>
      <c r="D895" s="1">
        <v>45326</v>
      </c>
      <c r="E895">
        <v>821</v>
      </c>
      <c r="F895">
        <v>52</v>
      </c>
      <c r="G895">
        <v>769</v>
      </c>
      <c r="H895" t="s">
        <v>12</v>
      </c>
      <c r="I895" t="s">
        <v>20</v>
      </c>
    </row>
    <row r="896" spans="1:9" x14ac:dyDescent="0.35">
      <c r="A896" t="s">
        <v>1017</v>
      </c>
      <c r="B896" t="s">
        <v>244</v>
      </c>
      <c r="C896" t="s">
        <v>27</v>
      </c>
      <c r="D896" s="1">
        <v>45108</v>
      </c>
      <c r="E896">
        <v>745</v>
      </c>
      <c r="F896">
        <v>122</v>
      </c>
      <c r="G896">
        <v>623</v>
      </c>
      <c r="H896" t="s">
        <v>12</v>
      </c>
      <c r="I896" t="s">
        <v>45</v>
      </c>
    </row>
    <row r="897" spans="1:9" x14ac:dyDescent="0.35">
      <c r="A897" t="s">
        <v>1018</v>
      </c>
      <c r="B897" t="s">
        <v>192</v>
      </c>
      <c r="C897" t="s">
        <v>31</v>
      </c>
      <c r="D897" s="1">
        <v>45063</v>
      </c>
      <c r="E897">
        <v>482</v>
      </c>
      <c r="F897">
        <v>71</v>
      </c>
      <c r="G897">
        <v>411</v>
      </c>
      <c r="H897" t="s">
        <v>12</v>
      </c>
      <c r="I897" t="s">
        <v>45</v>
      </c>
    </row>
    <row r="898" spans="1:9" x14ac:dyDescent="0.35">
      <c r="A898" t="s">
        <v>1019</v>
      </c>
      <c r="B898" t="s">
        <v>130</v>
      </c>
      <c r="C898" t="s">
        <v>31</v>
      </c>
      <c r="D898" s="1">
        <v>45002</v>
      </c>
      <c r="E898">
        <v>715</v>
      </c>
      <c r="F898">
        <v>170</v>
      </c>
      <c r="G898">
        <v>545</v>
      </c>
      <c r="H898" t="s">
        <v>12</v>
      </c>
      <c r="I898" t="s">
        <v>20</v>
      </c>
    </row>
    <row r="899" spans="1:9" x14ac:dyDescent="0.35">
      <c r="A899" t="s">
        <v>1020</v>
      </c>
      <c r="B899" t="s">
        <v>178</v>
      </c>
      <c r="C899" t="s">
        <v>16</v>
      </c>
      <c r="D899" s="1">
        <v>45423</v>
      </c>
      <c r="E899">
        <v>738</v>
      </c>
      <c r="F899">
        <v>685</v>
      </c>
      <c r="G899">
        <v>53</v>
      </c>
      <c r="H899" t="s">
        <v>12</v>
      </c>
      <c r="I899" t="s">
        <v>28</v>
      </c>
    </row>
    <row r="900" spans="1:9" x14ac:dyDescent="0.35">
      <c r="A900" t="s">
        <v>1021</v>
      </c>
      <c r="B900" t="s">
        <v>89</v>
      </c>
      <c r="C900" t="s">
        <v>27</v>
      </c>
      <c r="D900" s="1">
        <v>45498</v>
      </c>
      <c r="E900">
        <v>561</v>
      </c>
      <c r="F900">
        <v>95</v>
      </c>
      <c r="G900">
        <v>466</v>
      </c>
      <c r="H900" t="s">
        <v>12</v>
      </c>
      <c r="I900" t="s">
        <v>20</v>
      </c>
    </row>
    <row r="901" spans="1:9" x14ac:dyDescent="0.35">
      <c r="A901" t="s">
        <v>1022</v>
      </c>
      <c r="B901" t="s">
        <v>99</v>
      </c>
      <c r="C901" t="s">
        <v>16</v>
      </c>
      <c r="D901" s="1">
        <v>45209</v>
      </c>
      <c r="E901">
        <v>758</v>
      </c>
      <c r="F901">
        <v>521</v>
      </c>
      <c r="G901">
        <v>237</v>
      </c>
      <c r="H901" t="s">
        <v>12</v>
      </c>
      <c r="I901" t="s">
        <v>24</v>
      </c>
    </row>
    <row r="902" spans="1:9" x14ac:dyDescent="0.35">
      <c r="A902" t="s">
        <v>1023</v>
      </c>
      <c r="B902" t="s">
        <v>352</v>
      </c>
      <c r="C902" t="s">
        <v>27</v>
      </c>
      <c r="D902" s="1">
        <v>44950</v>
      </c>
      <c r="E902">
        <v>326</v>
      </c>
      <c r="F902">
        <v>168</v>
      </c>
      <c r="G902">
        <v>158</v>
      </c>
      <c r="H902" t="s">
        <v>12</v>
      </c>
      <c r="I902" t="s">
        <v>13</v>
      </c>
    </row>
    <row r="903" spans="1:9" x14ac:dyDescent="0.35">
      <c r="A903" t="s">
        <v>1024</v>
      </c>
      <c r="B903" t="s">
        <v>202</v>
      </c>
      <c r="C903" t="s">
        <v>19</v>
      </c>
      <c r="D903" s="1">
        <v>45332</v>
      </c>
      <c r="E903">
        <v>460</v>
      </c>
      <c r="F903">
        <v>45</v>
      </c>
      <c r="G903">
        <v>415</v>
      </c>
      <c r="H903" t="s">
        <v>12</v>
      </c>
      <c r="I903" t="s">
        <v>32</v>
      </c>
    </row>
    <row r="904" spans="1:9" x14ac:dyDescent="0.35">
      <c r="A904" t="s">
        <v>1025</v>
      </c>
      <c r="B904" t="s">
        <v>22</v>
      </c>
      <c r="C904" t="s">
        <v>19</v>
      </c>
      <c r="D904" s="1">
        <v>45138</v>
      </c>
      <c r="E904">
        <v>610</v>
      </c>
      <c r="F904">
        <v>287</v>
      </c>
      <c r="G904">
        <v>323</v>
      </c>
      <c r="H904" t="s">
        <v>12</v>
      </c>
      <c r="I904" t="s">
        <v>28</v>
      </c>
    </row>
    <row r="905" spans="1:9" x14ac:dyDescent="0.35">
      <c r="A905" t="s">
        <v>1026</v>
      </c>
      <c r="B905" t="s">
        <v>331</v>
      </c>
      <c r="C905" t="s">
        <v>11</v>
      </c>
      <c r="D905" s="1">
        <v>45261</v>
      </c>
      <c r="E905">
        <v>810</v>
      </c>
      <c r="F905">
        <v>4</v>
      </c>
      <c r="G905">
        <v>806</v>
      </c>
      <c r="H905" t="s">
        <v>12</v>
      </c>
      <c r="I905" t="s">
        <v>32</v>
      </c>
    </row>
    <row r="906" spans="1:9" x14ac:dyDescent="0.35">
      <c r="A906" t="s">
        <v>1027</v>
      </c>
      <c r="B906" t="s">
        <v>175</v>
      </c>
      <c r="C906" t="s">
        <v>23</v>
      </c>
      <c r="D906" s="1">
        <v>44958</v>
      </c>
      <c r="E906">
        <v>473</v>
      </c>
      <c r="F906">
        <v>57</v>
      </c>
      <c r="G906">
        <v>416</v>
      </c>
      <c r="H906" t="s">
        <v>12</v>
      </c>
      <c r="I906" t="s">
        <v>32</v>
      </c>
    </row>
    <row r="907" spans="1:9" x14ac:dyDescent="0.35">
      <c r="A907" t="s">
        <v>1028</v>
      </c>
      <c r="B907" t="s">
        <v>418</v>
      </c>
      <c r="C907" t="s">
        <v>11</v>
      </c>
      <c r="D907" s="1">
        <v>44995</v>
      </c>
      <c r="E907">
        <v>539</v>
      </c>
      <c r="F907">
        <v>105</v>
      </c>
      <c r="G907">
        <v>434</v>
      </c>
      <c r="H907" t="s">
        <v>12</v>
      </c>
      <c r="I907" t="s">
        <v>20</v>
      </c>
    </row>
    <row r="908" spans="1:9" x14ac:dyDescent="0.35">
      <c r="A908" t="s">
        <v>1029</v>
      </c>
      <c r="B908" t="s">
        <v>184</v>
      </c>
      <c r="C908" t="s">
        <v>11</v>
      </c>
      <c r="D908" s="1">
        <v>45153</v>
      </c>
      <c r="E908">
        <v>961</v>
      </c>
      <c r="F908">
        <v>869</v>
      </c>
      <c r="G908">
        <v>92</v>
      </c>
      <c r="H908" t="s">
        <v>12</v>
      </c>
      <c r="I908" t="s">
        <v>24</v>
      </c>
    </row>
    <row r="909" spans="1:9" x14ac:dyDescent="0.35">
      <c r="A909" t="s">
        <v>1030</v>
      </c>
      <c r="B909" t="s">
        <v>38</v>
      </c>
      <c r="C909" t="s">
        <v>23</v>
      </c>
      <c r="D909" s="1">
        <v>45320</v>
      </c>
      <c r="E909">
        <v>685</v>
      </c>
      <c r="F909">
        <v>23</v>
      </c>
      <c r="G909">
        <v>662</v>
      </c>
      <c r="H909" t="s">
        <v>12</v>
      </c>
      <c r="I909" t="s">
        <v>28</v>
      </c>
    </row>
    <row r="910" spans="1:9" x14ac:dyDescent="0.35">
      <c r="A910" t="s">
        <v>1031</v>
      </c>
      <c r="B910" t="s">
        <v>337</v>
      </c>
      <c r="C910" t="s">
        <v>23</v>
      </c>
      <c r="D910" s="1">
        <v>45448</v>
      </c>
      <c r="E910">
        <v>168</v>
      </c>
      <c r="F910">
        <v>110</v>
      </c>
      <c r="G910">
        <v>58</v>
      </c>
      <c r="H910" t="s">
        <v>12</v>
      </c>
      <c r="I910" t="s">
        <v>20</v>
      </c>
    </row>
    <row r="911" spans="1:9" x14ac:dyDescent="0.35">
      <c r="A911" t="s">
        <v>1032</v>
      </c>
      <c r="B911" t="s">
        <v>67</v>
      </c>
      <c r="C911" t="s">
        <v>11</v>
      </c>
      <c r="D911" s="1">
        <v>45389</v>
      </c>
      <c r="E911">
        <v>100</v>
      </c>
      <c r="F911">
        <v>25</v>
      </c>
      <c r="G911">
        <v>75</v>
      </c>
      <c r="H911" t="s">
        <v>12</v>
      </c>
      <c r="I911" t="s">
        <v>45</v>
      </c>
    </row>
    <row r="912" spans="1:9" x14ac:dyDescent="0.35">
      <c r="A912" t="s">
        <v>1033</v>
      </c>
      <c r="B912" t="s">
        <v>22</v>
      </c>
      <c r="C912" t="s">
        <v>27</v>
      </c>
      <c r="D912" s="1">
        <v>45279</v>
      </c>
      <c r="E912">
        <v>983</v>
      </c>
      <c r="F912">
        <v>722</v>
      </c>
      <c r="G912">
        <v>261</v>
      </c>
      <c r="H912" t="s">
        <v>12</v>
      </c>
      <c r="I912" t="s">
        <v>20</v>
      </c>
    </row>
    <row r="913" spans="1:9" x14ac:dyDescent="0.35">
      <c r="A913" t="s">
        <v>1034</v>
      </c>
      <c r="B913" t="s">
        <v>83</v>
      </c>
      <c r="C913" t="s">
        <v>31</v>
      </c>
      <c r="D913" s="1">
        <v>44932</v>
      </c>
      <c r="E913">
        <v>109</v>
      </c>
      <c r="F913">
        <v>36</v>
      </c>
      <c r="G913">
        <v>73</v>
      </c>
      <c r="H913" t="s">
        <v>12</v>
      </c>
      <c r="I913" t="s">
        <v>13</v>
      </c>
    </row>
    <row r="914" spans="1:9" x14ac:dyDescent="0.35">
      <c r="A914" t="s">
        <v>1035</v>
      </c>
      <c r="B914" t="s">
        <v>259</v>
      </c>
      <c r="C914" t="s">
        <v>23</v>
      </c>
      <c r="D914" s="1">
        <v>44989</v>
      </c>
      <c r="E914">
        <v>585</v>
      </c>
      <c r="F914">
        <v>35</v>
      </c>
      <c r="G914">
        <v>550</v>
      </c>
      <c r="H914" t="s">
        <v>12</v>
      </c>
      <c r="I914" t="s">
        <v>20</v>
      </c>
    </row>
    <row r="915" spans="1:9" x14ac:dyDescent="0.35">
      <c r="A915" t="s">
        <v>1036</v>
      </c>
      <c r="B915" t="s">
        <v>18</v>
      </c>
      <c r="C915" t="s">
        <v>23</v>
      </c>
      <c r="D915" s="1">
        <v>45130</v>
      </c>
      <c r="E915">
        <v>222</v>
      </c>
      <c r="F915">
        <v>148</v>
      </c>
      <c r="G915">
        <v>74</v>
      </c>
      <c r="H915" t="s">
        <v>12</v>
      </c>
      <c r="I915" t="s">
        <v>13</v>
      </c>
    </row>
    <row r="916" spans="1:9" x14ac:dyDescent="0.35">
      <c r="A916" t="s">
        <v>1037</v>
      </c>
      <c r="B916" t="s">
        <v>103</v>
      </c>
      <c r="C916" t="s">
        <v>11</v>
      </c>
      <c r="D916" s="1">
        <v>45045</v>
      </c>
      <c r="E916">
        <v>640</v>
      </c>
      <c r="F916">
        <v>198</v>
      </c>
      <c r="G916">
        <v>442</v>
      </c>
      <c r="H916" t="s">
        <v>12</v>
      </c>
      <c r="I916" t="s">
        <v>45</v>
      </c>
    </row>
    <row r="917" spans="1:9" x14ac:dyDescent="0.35">
      <c r="A917" t="s">
        <v>1038</v>
      </c>
      <c r="B917" t="s">
        <v>26</v>
      </c>
      <c r="C917" t="s">
        <v>11</v>
      </c>
      <c r="D917" s="1">
        <v>45125</v>
      </c>
      <c r="E917">
        <v>990</v>
      </c>
      <c r="F917">
        <v>616</v>
      </c>
      <c r="G917">
        <v>374</v>
      </c>
      <c r="H917" t="s">
        <v>12</v>
      </c>
      <c r="I917" t="s">
        <v>45</v>
      </c>
    </row>
    <row r="918" spans="1:9" x14ac:dyDescent="0.35">
      <c r="A918" t="s">
        <v>1039</v>
      </c>
      <c r="B918" t="s">
        <v>113</v>
      </c>
      <c r="C918" t="s">
        <v>27</v>
      </c>
      <c r="D918" s="1">
        <v>45207</v>
      </c>
      <c r="E918">
        <v>437</v>
      </c>
      <c r="F918">
        <v>231</v>
      </c>
      <c r="G918">
        <v>206</v>
      </c>
      <c r="H918" t="s">
        <v>12</v>
      </c>
      <c r="I918" t="s">
        <v>20</v>
      </c>
    </row>
    <row r="919" spans="1:9" x14ac:dyDescent="0.35">
      <c r="A919" t="s">
        <v>1040</v>
      </c>
      <c r="B919" t="s">
        <v>202</v>
      </c>
      <c r="C919" t="s">
        <v>31</v>
      </c>
      <c r="D919" s="1">
        <v>44986</v>
      </c>
      <c r="E919">
        <v>643</v>
      </c>
      <c r="F919">
        <v>523</v>
      </c>
      <c r="G919">
        <v>120</v>
      </c>
      <c r="H919" t="s">
        <v>12</v>
      </c>
      <c r="I919" t="s">
        <v>13</v>
      </c>
    </row>
    <row r="920" spans="1:9" x14ac:dyDescent="0.35">
      <c r="A920" t="s">
        <v>1041</v>
      </c>
      <c r="B920" t="s">
        <v>54</v>
      </c>
      <c r="C920" t="s">
        <v>31</v>
      </c>
      <c r="D920" s="1">
        <v>45352</v>
      </c>
      <c r="E920">
        <v>636</v>
      </c>
      <c r="F920">
        <v>310</v>
      </c>
      <c r="G920">
        <v>326</v>
      </c>
      <c r="H920" t="s">
        <v>12</v>
      </c>
      <c r="I920" t="s">
        <v>13</v>
      </c>
    </row>
    <row r="921" spans="1:9" x14ac:dyDescent="0.35">
      <c r="A921" t="s">
        <v>1042</v>
      </c>
      <c r="B921" t="s">
        <v>78</v>
      </c>
      <c r="C921" t="s">
        <v>16</v>
      </c>
      <c r="D921" s="1">
        <v>45156</v>
      </c>
      <c r="E921">
        <v>925</v>
      </c>
      <c r="F921">
        <v>798</v>
      </c>
      <c r="G921">
        <v>127</v>
      </c>
      <c r="H921" t="s">
        <v>12</v>
      </c>
      <c r="I921" t="s">
        <v>20</v>
      </c>
    </row>
    <row r="922" spans="1:9" x14ac:dyDescent="0.35">
      <c r="A922" t="s">
        <v>1043</v>
      </c>
      <c r="B922" t="s">
        <v>59</v>
      </c>
      <c r="C922" t="s">
        <v>27</v>
      </c>
      <c r="D922" s="1">
        <v>45182</v>
      </c>
      <c r="E922">
        <v>995</v>
      </c>
      <c r="F922">
        <v>562</v>
      </c>
      <c r="G922">
        <v>433</v>
      </c>
      <c r="H922" t="s">
        <v>12</v>
      </c>
      <c r="I922" t="s">
        <v>24</v>
      </c>
    </row>
    <row r="923" spans="1:9" x14ac:dyDescent="0.35">
      <c r="A923" t="s">
        <v>1044</v>
      </c>
      <c r="B923" t="s">
        <v>143</v>
      </c>
      <c r="C923" t="s">
        <v>31</v>
      </c>
      <c r="D923" s="1">
        <v>45497</v>
      </c>
      <c r="E923">
        <v>308</v>
      </c>
      <c r="F923">
        <v>124</v>
      </c>
      <c r="G923">
        <v>184</v>
      </c>
      <c r="H923" t="s">
        <v>12</v>
      </c>
      <c r="I923" t="s">
        <v>45</v>
      </c>
    </row>
    <row r="924" spans="1:9" x14ac:dyDescent="0.35">
      <c r="A924" t="s">
        <v>1045</v>
      </c>
      <c r="B924" t="s">
        <v>72</v>
      </c>
      <c r="C924" t="s">
        <v>31</v>
      </c>
      <c r="D924" s="1">
        <v>45258</v>
      </c>
      <c r="E924">
        <v>579</v>
      </c>
      <c r="F924">
        <v>246</v>
      </c>
      <c r="G924">
        <v>333</v>
      </c>
      <c r="H924" t="s">
        <v>12</v>
      </c>
      <c r="I924" t="s">
        <v>32</v>
      </c>
    </row>
    <row r="925" spans="1:9" x14ac:dyDescent="0.35">
      <c r="A925" t="s">
        <v>1046</v>
      </c>
      <c r="B925" t="s">
        <v>244</v>
      </c>
      <c r="C925" t="s">
        <v>27</v>
      </c>
      <c r="D925" s="1">
        <v>45128</v>
      </c>
      <c r="E925">
        <v>116</v>
      </c>
      <c r="F925">
        <v>77</v>
      </c>
      <c r="G925">
        <v>39</v>
      </c>
      <c r="H925" t="s">
        <v>12</v>
      </c>
      <c r="I925" t="s">
        <v>32</v>
      </c>
    </row>
    <row r="926" spans="1:9" x14ac:dyDescent="0.35">
      <c r="A926" t="s">
        <v>1047</v>
      </c>
      <c r="B926" t="s">
        <v>18</v>
      </c>
      <c r="C926" t="s">
        <v>27</v>
      </c>
      <c r="D926" s="1">
        <v>45098</v>
      </c>
      <c r="E926">
        <v>327</v>
      </c>
      <c r="F926">
        <v>172</v>
      </c>
      <c r="G926">
        <v>155</v>
      </c>
      <c r="H926" t="s">
        <v>12</v>
      </c>
      <c r="I926" t="s">
        <v>24</v>
      </c>
    </row>
    <row r="927" spans="1:9" x14ac:dyDescent="0.35">
      <c r="A927" t="s">
        <v>1048</v>
      </c>
      <c r="B927" t="s">
        <v>506</v>
      </c>
      <c r="C927" t="s">
        <v>23</v>
      </c>
      <c r="D927" s="1">
        <v>45205</v>
      </c>
      <c r="E927">
        <v>204</v>
      </c>
      <c r="F927">
        <v>124</v>
      </c>
      <c r="G927">
        <v>80</v>
      </c>
      <c r="H927" t="s">
        <v>12</v>
      </c>
      <c r="I927" t="s">
        <v>13</v>
      </c>
    </row>
    <row r="928" spans="1:9" x14ac:dyDescent="0.35">
      <c r="A928" t="s">
        <v>1049</v>
      </c>
      <c r="B928" t="s">
        <v>103</v>
      </c>
      <c r="C928" t="s">
        <v>11</v>
      </c>
      <c r="D928" s="1">
        <v>45360</v>
      </c>
      <c r="E928">
        <v>952</v>
      </c>
      <c r="F928">
        <v>397</v>
      </c>
      <c r="G928">
        <v>555</v>
      </c>
      <c r="H928" t="s">
        <v>12</v>
      </c>
      <c r="I928" t="s">
        <v>28</v>
      </c>
    </row>
    <row r="929" spans="1:9" x14ac:dyDescent="0.35">
      <c r="A929" t="s">
        <v>1050</v>
      </c>
      <c r="B929" t="s">
        <v>161</v>
      </c>
      <c r="C929" t="s">
        <v>31</v>
      </c>
      <c r="D929" s="1">
        <v>45247</v>
      </c>
      <c r="E929">
        <v>368</v>
      </c>
      <c r="F929">
        <v>4</v>
      </c>
      <c r="G929">
        <v>364</v>
      </c>
      <c r="H929" t="s">
        <v>12</v>
      </c>
      <c r="I929" t="s">
        <v>24</v>
      </c>
    </row>
    <row r="930" spans="1:9" x14ac:dyDescent="0.35">
      <c r="A930" t="s">
        <v>1051</v>
      </c>
      <c r="B930" t="s">
        <v>263</v>
      </c>
      <c r="C930" t="s">
        <v>19</v>
      </c>
      <c r="D930" s="1">
        <v>45140</v>
      </c>
      <c r="E930">
        <v>161</v>
      </c>
      <c r="F930">
        <v>76</v>
      </c>
      <c r="G930">
        <v>85</v>
      </c>
      <c r="H930" t="s">
        <v>12</v>
      </c>
      <c r="I930" t="s">
        <v>13</v>
      </c>
    </row>
    <row r="931" spans="1:9" x14ac:dyDescent="0.35">
      <c r="A931" t="s">
        <v>1052</v>
      </c>
      <c r="B931" t="s">
        <v>400</v>
      </c>
      <c r="C931" t="s">
        <v>19</v>
      </c>
      <c r="D931" s="1">
        <v>44989</v>
      </c>
      <c r="E931">
        <v>499</v>
      </c>
      <c r="F931">
        <v>370</v>
      </c>
      <c r="G931">
        <v>129</v>
      </c>
      <c r="H931" t="s">
        <v>12</v>
      </c>
      <c r="I931" t="s">
        <v>13</v>
      </c>
    </row>
    <row r="932" spans="1:9" x14ac:dyDescent="0.35">
      <c r="A932" t="s">
        <v>1053</v>
      </c>
      <c r="B932" t="s">
        <v>384</v>
      </c>
      <c r="C932" t="s">
        <v>27</v>
      </c>
      <c r="D932" s="1">
        <v>45212</v>
      </c>
      <c r="E932">
        <v>997</v>
      </c>
      <c r="F932">
        <v>3</v>
      </c>
      <c r="G932">
        <v>994</v>
      </c>
      <c r="H932" t="s">
        <v>12</v>
      </c>
      <c r="I932" t="s">
        <v>28</v>
      </c>
    </row>
    <row r="933" spans="1:9" x14ac:dyDescent="0.35">
      <c r="A933" t="s">
        <v>1054</v>
      </c>
      <c r="B933" t="s">
        <v>280</v>
      </c>
      <c r="C933" t="s">
        <v>16</v>
      </c>
      <c r="D933" s="1">
        <v>45381</v>
      </c>
      <c r="E933">
        <v>390</v>
      </c>
      <c r="F933">
        <v>169</v>
      </c>
      <c r="G933">
        <v>221</v>
      </c>
      <c r="H933" t="s">
        <v>12</v>
      </c>
      <c r="I933" t="s">
        <v>20</v>
      </c>
    </row>
    <row r="934" spans="1:9" x14ac:dyDescent="0.35">
      <c r="A934" t="s">
        <v>1055</v>
      </c>
      <c r="B934" t="s">
        <v>186</v>
      </c>
      <c r="C934" t="s">
        <v>27</v>
      </c>
      <c r="D934" s="1">
        <v>45125</v>
      </c>
      <c r="E934">
        <v>511</v>
      </c>
      <c r="F934">
        <v>215</v>
      </c>
      <c r="G934">
        <v>296</v>
      </c>
      <c r="H934" t="s">
        <v>12</v>
      </c>
      <c r="I934" t="s">
        <v>28</v>
      </c>
    </row>
    <row r="935" spans="1:9" x14ac:dyDescent="0.35">
      <c r="A935" t="s">
        <v>1056</v>
      </c>
      <c r="B935" t="s">
        <v>238</v>
      </c>
      <c r="C935" t="s">
        <v>23</v>
      </c>
      <c r="D935" s="1">
        <v>45133</v>
      </c>
      <c r="E935">
        <v>679</v>
      </c>
      <c r="F935">
        <v>654</v>
      </c>
      <c r="G935">
        <v>25</v>
      </c>
      <c r="H935" t="s">
        <v>12</v>
      </c>
      <c r="I935" t="s">
        <v>13</v>
      </c>
    </row>
    <row r="936" spans="1:9" x14ac:dyDescent="0.35">
      <c r="A936" t="s">
        <v>1057</v>
      </c>
      <c r="B936" t="s">
        <v>99</v>
      </c>
      <c r="C936" t="s">
        <v>11</v>
      </c>
      <c r="D936" s="1">
        <v>45520</v>
      </c>
      <c r="E936">
        <v>412</v>
      </c>
      <c r="F936">
        <v>9</v>
      </c>
      <c r="G936">
        <v>403</v>
      </c>
      <c r="H936" t="s">
        <v>12</v>
      </c>
      <c r="I936" t="s">
        <v>13</v>
      </c>
    </row>
    <row r="937" spans="1:9" x14ac:dyDescent="0.35">
      <c r="A937" t="s">
        <v>1058</v>
      </c>
      <c r="B937" t="s">
        <v>85</v>
      </c>
      <c r="C937" t="s">
        <v>27</v>
      </c>
      <c r="D937" s="1">
        <v>45393</v>
      </c>
      <c r="E937">
        <v>345</v>
      </c>
      <c r="F937">
        <v>2</v>
      </c>
      <c r="G937">
        <v>343</v>
      </c>
      <c r="H937" t="s">
        <v>12</v>
      </c>
      <c r="I937" t="s">
        <v>32</v>
      </c>
    </row>
    <row r="938" spans="1:9" x14ac:dyDescent="0.35">
      <c r="A938" t="s">
        <v>1059</v>
      </c>
      <c r="B938" t="s">
        <v>221</v>
      </c>
      <c r="C938" t="s">
        <v>31</v>
      </c>
      <c r="D938" s="1">
        <v>45309</v>
      </c>
      <c r="E938">
        <v>266</v>
      </c>
      <c r="F938">
        <v>190</v>
      </c>
      <c r="G938">
        <v>76</v>
      </c>
      <c r="H938" t="s">
        <v>12</v>
      </c>
      <c r="I938" t="s">
        <v>24</v>
      </c>
    </row>
    <row r="939" spans="1:9" x14ac:dyDescent="0.35">
      <c r="A939" t="s">
        <v>1060</v>
      </c>
      <c r="B939" t="s">
        <v>244</v>
      </c>
      <c r="C939" t="s">
        <v>31</v>
      </c>
      <c r="D939" s="1">
        <v>45462</v>
      </c>
      <c r="E939">
        <v>514</v>
      </c>
      <c r="F939">
        <v>200</v>
      </c>
      <c r="G939">
        <v>314</v>
      </c>
      <c r="H939" t="s">
        <v>12</v>
      </c>
      <c r="I939" t="s">
        <v>24</v>
      </c>
    </row>
    <row r="940" spans="1:9" x14ac:dyDescent="0.35">
      <c r="A940" t="s">
        <v>1061</v>
      </c>
      <c r="B940" t="s">
        <v>109</v>
      </c>
      <c r="C940" t="s">
        <v>19</v>
      </c>
      <c r="D940" s="1">
        <v>44983</v>
      </c>
      <c r="E940">
        <v>369</v>
      </c>
      <c r="F940">
        <v>304</v>
      </c>
      <c r="G940">
        <v>65</v>
      </c>
      <c r="H940" t="s">
        <v>12</v>
      </c>
      <c r="I940" t="s">
        <v>45</v>
      </c>
    </row>
    <row r="941" spans="1:9" x14ac:dyDescent="0.35">
      <c r="A941" t="s">
        <v>1062</v>
      </c>
      <c r="B941" t="s">
        <v>54</v>
      </c>
      <c r="C941" t="s">
        <v>23</v>
      </c>
      <c r="D941" s="1">
        <v>45370</v>
      </c>
      <c r="E941">
        <v>427</v>
      </c>
      <c r="F941">
        <v>122</v>
      </c>
      <c r="G941">
        <v>305</v>
      </c>
      <c r="H941" t="s">
        <v>12</v>
      </c>
      <c r="I941" t="s">
        <v>32</v>
      </c>
    </row>
    <row r="942" spans="1:9" x14ac:dyDescent="0.35">
      <c r="A942" t="s">
        <v>1063</v>
      </c>
      <c r="B942" t="s">
        <v>115</v>
      </c>
      <c r="C942" t="s">
        <v>31</v>
      </c>
      <c r="D942" s="1">
        <v>45053</v>
      </c>
      <c r="E942">
        <v>472</v>
      </c>
      <c r="F942">
        <v>442</v>
      </c>
      <c r="G942">
        <v>30</v>
      </c>
      <c r="H942" t="s">
        <v>12</v>
      </c>
      <c r="I942" t="s">
        <v>28</v>
      </c>
    </row>
    <row r="943" spans="1:9" x14ac:dyDescent="0.35">
      <c r="A943" t="s">
        <v>1064</v>
      </c>
      <c r="B943" t="s">
        <v>18</v>
      </c>
      <c r="C943" t="s">
        <v>23</v>
      </c>
      <c r="D943" s="1">
        <v>45028</v>
      </c>
      <c r="E943">
        <v>496</v>
      </c>
      <c r="F943">
        <v>374</v>
      </c>
      <c r="G943">
        <v>122</v>
      </c>
      <c r="H943" t="s">
        <v>12</v>
      </c>
      <c r="I943" t="s">
        <v>45</v>
      </c>
    </row>
    <row r="944" spans="1:9" x14ac:dyDescent="0.35">
      <c r="A944" t="s">
        <v>1065</v>
      </c>
      <c r="B944" t="s">
        <v>89</v>
      </c>
      <c r="C944" t="s">
        <v>11</v>
      </c>
      <c r="D944" s="1">
        <v>45394</v>
      </c>
      <c r="E944">
        <v>509</v>
      </c>
      <c r="F944">
        <v>78</v>
      </c>
      <c r="G944">
        <v>431</v>
      </c>
      <c r="H944" t="s">
        <v>12</v>
      </c>
      <c r="I944" t="s">
        <v>13</v>
      </c>
    </row>
    <row r="945" spans="1:9" x14ac:dyDescent="0.35">
      <c r="A945" t="s">
        <v>1066</v>
      </c>
      <c r="B945" t="s">
        <v>72</v>
      </c>
      <c r="C945" t="s">
        <v>31</v>
      </c>
      <c r="D945" s="1">
        <v>45377</v>
      </c>
      <c r="E945">
        <v>947</v>
      </c>
      <c r="F945">
        <v>751</v>
      </c>
      <c r="G945">
        <v>196</v>
      </c>
      <c r="H945" t="s">
        <v>12</v>
      </c>
      <c r="I945" t="s">
        <v>45</v>
      </c>
    </row>
    <row r="946" spans="1:9" x14ac:dyDescent="0.35">
      <c r="A946" t="s">
        <v>1067</v>
      </c>
      <c r="B946" t="s">
        <v>145</v>
      </c>
      <c r="C946" t="s">
        <v>19</v>
      </c>
      <c r="D946" s="1">
        <v>45022</v>
      </c>
      <c r="E946">
        <v>233</v>
      </c>
      <c r="F946">
        <v>39</v>
      </c>
      <c r="G946">
        <v>194</v>
      </c>
      <c r="H946" t="s">
        <v>12</v>
      </c>
      <c r="I946" t="s">
        <v>45</v>
      </c>
    </row>
    <row r="947" spans="1:9" x14ac:dyDescent="0.35">
      <c r="A947" t="s">
        <v>1068</v>
      </c>
      <c r="B947" t="s">
        <v>375</v>
      </c>
      <c r="C947" t="s">
        <v>27</v>
      </c>
      <c r="D947" s="1">
        <v>45407</v>
      </c>
      <c r="E947">
        <v>406</v>
      </c>
      <c r="F947">
        <v>7</v>
      </c>
      <c r="G947">
        <v>399</v>
      </c>
      <c r="H947" t="s">
        <v>12</v>
      </c>
      <c r="I947" t="s">
        <v>20</v>
      </c>
    </row>
    <row r="948" spans="1:9" x14ac:dyDescent="0.35">
      <c r="A948" t="s">
        <v>1069</v>
      </c>
      <c r="B948" t="s">
        <v>263</v>
      </c>
      <c r="C948" t="s">
        <v>11</v>
      </c>
      <c r="D948" s="1">
        <v>45050</v>
      </c>
      <c r="E948">
        <v>487</v>
      </c>
      <c r="F948">
        <v>339</v>
      </c>
      <c r="G948">
        <v>148</v>
      </c>
      <c r="H948" t="s">
        <v>12</v>
      </c>
      <c r="I948" t="s">
        <v>28</v>
      </c>
    </row>
    <row r="949" spans="1:9" x14ac:dyDescent="0.35">
      <c r="A949" t="s">
        <v>1070</v>
      </c>
      <c r="B949" t="s">
        <v>189</v>
      </c>
      <c r="C949" t="s">
        <v>11</v>
      </c>
      <c r="D949" s="1">
        <v>45470</v>
      </c>
      <c r="E949">
        <v>111</v>
      </c>
      <c r="F949">
        <v>65</v>
      </c>
      <c r="G949">
        <v>46</v>
      </c>
      <c r="H949" t="s">
        <v>12</v>
      </c>
      <c r="I949" t="s">
        <v>24</v>
      </c>
    </row>
    <row r="950" spans="1:9" x14ac:dyDescent="0.35">
      <c r="A950" t="s">
        <v>1071</v>
      </c>
      <c r="B950" t="s">
        <v>99</v>
      </c>
      <c r="C950" t="s">
        <v>23</v>
      </c>
      <c r="D950" s="1">
        <v>45180</v>
      </c>
      <c r="E950">
        <v>651</v>
      </c>
      <c r="F950">
        <v>494</v>
      </c>
      <c r="G950">
        <v>157</v>
      </c>
      <c r="H950" t="s">
        <v>12</v>
      </c>
      <c r="I950" t="s">
        <v>13</v>
      </c>
    </row>
    <row r="951" spans="1:9" x14ac:dyDescent="0.35">
      <c r="A951" t="s">
        <v>1072</v>
      </c>
      <c r="B951" t="s">
        <v>150</v>
      </c>
      <c r="C951" t="s">
        <v>31</v>
      </c>
      <c r="D951" s="1">
        <v>45178</v>
      </c>
      <c r="E951">
        <v>754</v>
      </c>
      <c r="F951">
        <v>499</v>
      </c>
      <c r="G951">
        <v>255</v>
      </c>
      <c r="H951" t="s">
        <v>12</v>
      </c>
      <c r="I951" t="s">
        <v>13</v>
      </c>
    </row>
    <row r="952" spans="1:9" x14ac:dyDescent="0.35">
      <c r="A952" t="s">
        <v>1073</v>
      </c>
      <c r="B952" t="s">
        <v>157</v>
      </c>
      <c r="C952" t="s">
        <v>19</v>
      </c>
      <c r="D952" s="1">
        <v>45395</v>
      </c>
      <c r="E952">
        <v>981</v>
      </c>
      <c r="F952">
        <v>157</v>
      </c>
      <c r="G952">
        <v>824</v>
      </c>
      <c r="H952" t="s">
        <v>12</v>
      </c>
      <c r="I952" t="s">
        <v>13</v>
      </c>
    </row>
    <row r="953" spans="1:9" x14ac:dyDescent="0.35">
      <c r="A953" t="s">
        <v>1074</v>
      </c>
      <c r="B953" t="s">
        <v>155</v>
      </c>
      <c r="C953" t="s">
        <v>31</v>
      </c>
      <c r="D953" s="1">
        <v>45173</v>
      </c>
      <c r="E953">
        <v>293</v>
      </c>
      <c r="F953">
        <v>102</v>
      </c>
      <c r="G953">
        <v>191</v>
      </c>
      <c r="H953" t="s">
        <v>12</v>
      </c>
      <c r="I953" t="s">
        <v>28</v>
      </c>
    </row>
    <row r="954" spans="1:9" x14ac:dyDescent="0.35">
      <c r="A954" t="s">
        <v>1075</v>
      </c>
      <c r="B954" t="s">
        <v>138</v>
      </c>
      <c r="C954" t="s">
        <v>31</v>
      </c>
      <c r="D954" s="1">
        <v>44935</v>
      </c>
      <c r="E954">
        <v>972</v>
      </c>
      <c r="F954">
        <v>912</v>
      </c>
      <c r="G954">
        <v>60</v>
      </c>
      <c r="H954" t="s">
        <v>12</v>
      </c>
      <c r="I954" t="s">
        <v>24</v>
      </c>
    </row>
    <row r="955" spans="1:9" x14ac:dyDescent="0.35">
      <c r="A955" t="s">
        <v>1076</v>
      </c>
      <c r="B955" t="s">
        <v>202</v>
      </c>
      <c r="C955" t="s">
        <v>19</v>
      </c>
      <c r="D955" s="1">
        <v>45377</v>
      </c>
      <c r="E955">
        <v>305</v>
      </c>
      <c r="F955">
        <v>203</v>
      </c>
      <c r="G955">
        <v>102</v>
      </c>
      <c r="H955" t="s">
        <v>12</v>
      </c>
      <c r="I955" t="s">
        <v>24</v>
      </c>
    </row>
    <row r="956" spans="1:9" x14ac:dyDescent="0.35">
      <c r="A956" t="s">
        <v>1077</v>
      </c>
      <c r="B956" t="s">
        <v>161</v>
      </c>
      <c r="C956" t="s">
        <v>23</v>
      </c>
      <c r="D956" s="1">
        <v>45448</v>
      </c>
      <c r="E956">
        <v>713</v>
      </c>
      <c r="F956">
        <v>486</v>
      </c>
      <c r="G956">
        <v>227</v>
      </c>
      <c r="H956" t="s">
        <v>12</v>
      </c>
      <c r="I956" t="s">
        <v>32</v>
      </c>
    </row>
    <row r="957" spans="1:9" x14ac:dyDescent="0.35">
      <c r="A957" t="s">
        <v>1078</v>
      </c>
      <c r="B957" t="s">
        <v>96</v>
      </c>
      <c r="C957" t="s">
        <v>23</v>
      </c>
      <c r="D957" s="1">
        <v>44929</v>
      </c>
      <c r="E957">
        <v>353</v>
      </c>
      <c r="F957">
        <v>217</v>
      </c>
      <c r="G957">
        <v>136</v>
      </c>
      <c r="H957" t="s">
        <v>12</v>
      </c>
      <c r="I957" t="s">
        <v>45</v>
      </c>
    </row>
    <row r="958" spans="1:9" x14ac:dyDescent="0.35">
      <c r="A958" t="s">
        <v>1079</v>
      </c>
      <c r="B958" t="s">
        <v>83</v>
      </c>
      <c r="C958" t="s">
        <v>16</v>
      </c>
      <c r="D958" s="1">
        <v>45109</v>
      </c>
      <c r="E958">
        <v>297</v>
      </c>
      <c r="F958">
        <v>208</v>
      </c>
      <c r="G958">
        <v>89</v>
      </c>
      <c r="H958" t="s">
        <v>12</v>
      </c>
      <c r="I958" t="s">
        <v>28</v>
      </c>
    </row>
    <row r="959" spans="1:9" x14ac:dyDescent="0.35">
      <c r="A959" t="s">
        <v>1080</v>
      </c>
      <c r="B959" t="s">
        <v>44</v>
      </c>
      <c r="C959" t="s">
        <v>31</v>
      </c>
      <c r="D959" s="1">
        <v>44962</v>
      </c>
      <c r="E959">
        <v>735</v>
      </c>
      <c r="F959">
        <v>296</v>
      </c>
      <c r="G959">
        <v>439</v>
      </c>
      <c r="H959" t="s">
        <v>12</v>
      </c>
      <c r="I959" t="s">
        <v>45</v>
      </c>
    </row>
    <row r="960" spans="1:9" x14ac:dyDescent="0.35">
      <c r="A960" t="s">
        <v>1081</v>
      </c>
      <c r="B960" t="s">
        <v>42</v>
      </c>
      <c r="C960" t="s">
        <v>11</v>
      </c>
      <c r="D960" s="1">
        <v>45073</v>
      </c>
      <c r="E960">
        <v>815</v>
      </c>
      <c r="F960">
        <v>760</v>
      </c>
      <c r="G960">
        <v>55</v>
      </c>
      <c r="H960" t="s">
        <v>12</v>
      </c>
      <c r="I960" t="s">
        <v>28</v>
      </c>
    </row>
    <row r="961" spans="1:9" x14ac:dyDescent="0.35">
      <c r="A961" t="s">
        <v>1082</v>
      </c>
      <c r="B961" t="s">
        <v>214</v>
      </c>
      <c r="C961" t="s">
        <v>16</v>
      </c>
      <c r="D961" s="1">
        <v>45341</v>
      </c>
      <c r="E961">
        <v>364</v>
      </c>
      <c r="F961">
        <v>76</v>
      </c>
      <c r="G961">
        <v>288</v>
      </c>
      <c r="H961" t="s">
        <v>12</v>
      </c>
      <c r="I961" t="s">
        <v>20</v>
      </c>
    </row>
    <row r="962" spans="1:9" x14ac:dyDescent="0.35">
      <c r="A962" t="s">
        <v>1083</v>
      </c>
      <c r="B962" t="s">
        <v>202</v>
      </c>
      <c r="C962" t="s">
        <v>16</v>
      </c>
      <c r="D962" s="1">
        <v>45037</v>
      </c>
      <c r="E962">
        <v>127</v>
      </c>
      <c r="F962">
        <v>60</v>
      </c>
      <c r="G962">
        <v>67</v>
      </c>
      <c r="H962" t="s">
        <v>12</v>
      </c>
      <c r="I962" t="s">
        <v>45</v>
      </c>
    </row>
    <row r="963" spans="1:9" x14ac:dyDescent="0.35">
      <c r="A963" t="s">
        <v>1084</v>
      </c>
      <c r="B963" t="s">
        <v>206</v>
      </c>
      <c r="C963" t="s">
        <v>27</v>
      </c>
      <c r="D963" s="1">
        <v>45399</v>
      </c>
      <c r="E963">
        <v>232</v>
      </c>
      <c r="F963">
        <v>185</v>
      </c>
      <c r="G963">
        <v>47</v>
      </c>
      <c r="H963" t="s">
        <v>12</v>
      </c>
      <c r="I963" t="s">
        <v>20</v>
      </c>
    </row>
    <row r="964" spans="1:9" x14ac:dyDescent="0.35">
      <c r="A964" t="s">
        <v>1085</v>
      </c>
      <c r="B964" t="s">
        <v>44</v>
      </c>
      <c r="C964" t="s">
        <v>19</v>
      </c>
      <c r="D964" s="1">
        <v>45288</v>
      </c>
      <c r="E964">
        <v>802</v>
      </c>
      <c r="F964">
        <v>468</v>
      </c>
      <c r="G964">
        <v>334</v>
      </c>
      <c r="H964" t="s">
        <v>12</v>
      </c>
      <c r="I964" t="s">
        <v>24</v>
      </c>
    </row>
    <row r="965" spans="1:9" x14ac:dyDescent="0.35">
      <c r="A965" t="s">
        <v>1086</v>
      </c>
      <c r="B965" t="s">
        <v>22</v>
      </c>
      <c r="C965" t="s">
        <v>16</v>
      </c>
      <c r="D965" s="1">
        <v>45331</v>
      </c>
      <c r="E965">
        <v>836</v>
      </c>
      <c r="F965">
        <v>616</v>
      </c>
      <c r="G965">
        <v>220</v>
      </c>
      <c r="H965" t="s">
        <v>12</v>
      </c>
      <c r="I965" t="s">
        <v>20</v>
      </c>
    </row>
    <row r="966" spans="1:9" x14ac:dyDescent="0.35">
      <c r="A966" t="s">
        <v>1087</v>
      </c>
      <c r="B966" t="s">
        <v>150</v>
      </c>
      <c r="C966" t="s">
        <v>27</v>
      </c>
      <c r="D966" s="1">
        <v>45140</v>
      </c>
      <c r="E966">
        <v>485</v>
      </c>
      <c r="F966">
        <v>404</v>
      </c>
      <c r="G966">
        <v>81</v>
      </c>
      <c r="H966" t="s">
        <v>12</v>
      </c>
      <c r="I966" t="s">
        <v>20</v>
      </c>
    </row>
    <row r="967" spans="1:9" x14ac:dyDescent="0.35">
      <c r="A967" t="s">
        <v>1088</v>
      </c>
      <c r="B967" t="s">
        <v>140</v>
      </c>
      <c r="C967" t="s">
        <v>31</v>
      </c>
      <c r="D967" s="1">
        <v>45473</v>
      </c>
      <c r="E967">
        <v>131</v>
      </c>
      <c r="F967">
        <v>44</v>
      </c>
      <c r="G967">
        <v>87</v>
      </c>
      <c r="H967" t="s">
        <v>12</v>
      </c>
      <c r="I967" t="s">
        <v>28</v>
      </c>
    </row>
    <row r="968" spans="1:9" x14ac:dyDescent="0.35">
      <c r="A968" t="s">
        <v>1089</v>
      </c>
      <c r="B968" t="s">
        <v>127</v>
      </c>
      <c r="C968" t="s">
        <v>31</v>
      </c>
      <c r="D968" s="1">
        <v>45170</v>
      </c>
      <c r="E968">
        <v>258</v>
      </c>
      <c r="F968">
        <v>45</v>
      </c>
      <c r="G968">
        <v>213</v>
      </c>
      <c r="H968" t="s">
        <v>12</v>
      </c>
      <c r="I968" t="s">
        <v>24</v>
      </c>
    </row>
    <row r="969" spans="1:9" x14ac:dyDescent="0.35">
      <c r="A969" t="s">
        <v>1090</v>
      </c>
      <c r="B969" t="s">
        <v>130</v>
      </c>
      <c r="C969" t="s">
        <v>11</v>
      </c>
      <c r="D969" s="1">
        <v>45039</v>
      </c>
      <c r="E969">
        <v>536</v>
      </c>
      <c r="F969">
        <v>200</v>
      </c>
      <c r="G969">
        <v>336</v>
      </c>
      <c r="H969" t="s">
        <v>12</v>
      </c>
      <c r="I969" t="s">
        <v>13</v>
      </c>
    </row>
    <row r="970" spans="1:9" x14ac:dyDescent="0.35">
      <c r="A970" t="s">
        <v>1091</v>
      </c>
      <c r="B970" t="s">
        <v>93</v>
      </c>
      <c r="C970" t="s">
        <v>11</v>
      </c>
      <c r="D970" s="1">
        <v>45379</v>
      </c>
      <c r="E970">
        <v>499</v>
      </c>
      <c r="F970">
        <v>400</v>
      </c>
      <c r="G970">
        <v>99</v>
      </c>
      <c r="H970" t="s">
        <v>12</v>
      </c>
      <c r="I970" t="s">
        <v>32</v>
      </c>
    </row>
    <row r="971" spans="1:9" x14ac:dyDescent="0.35">
      <c r="A971" t="s">
        <v>1092</v>
      </c>
      <c r="B971" t="s">
        <v>145</v>
      </c>
      <c r="C971" t="s">
        <v>19</v>
      </c>
      <c r="D971" s="1">
        <v>45354</v>
      </c>
      <c r="E971">
        <v>781</v>
      </c>
      <c r="F971">
        <v>72</v>
      </c>
      <c r="G971">
        <v>709</v>
      </c>
      <c r="H971" t="s">
        <v>12</v>
      </c>
      <c r="I971" t="s">
        <v>20</v>
      </c>
    </row>
    <row r="972" spans="1:9" x14ac:dyDescent="0.35">
      <c r="A972" t="s">
        <v>1093</v>
      </c>
      <c r="B972" t="s">
        <v>56</v>
      </c>
      <c r="C972" t="s">
        <v>27</v>
      </c>
      <c r="D972" s="1">
        <v>45443</v>
      </c>
      <c r="E972">
        <v>711</v>
      </c>
      <c r="F972">
        <v>537</v>
      </c>
      <c r="G972">
        <v>174</v>
      </c>
      <c r="H972" t="s">
        <v>12</v>
      </c>
      <c r="I972" t="s">
        <v>20</v>
      </c>
    </row>
    <row r="973" spans="1:9" x14ac:dyDescent="0.35">
      <c r="A973" t="s">
        <v>1094</v>
      </c>
      <c r="B973" t="s">
        <v>263</v>
      </c>
      <c r="C973" t="s">
        <v>23</v>
      </c>
      <c r="D973" s="1">
        <v>45455</v>
      </c>
      <c r="E973">
        <v>788</v>
      </c>
      <c r="F973">
        <v>452</v>
      </c>
      <c r="G973">
        <v>336</v>
      </c>
      <c r="H973" t="s">
        <v>12</v>
      </c>
      <c r="I973" t="s">
        <v>13</v>
      </c>
    </row>
    <row r="974" spans="1:9" x14ac:dyDescent="0.35">
      <c r="A974" t="s">
        <v>1095</v>
      </c>
      <c r="B974" t="s">
        <v>132</v>
      </c>
      <c r="C974" t="s">
        <v>16</v>
      </c>
      <c r="D974" s="1">
        <v>45047</v>
      </c>
      <c r="E974">
        <v>312</v>
      </c>
      <c r="F974">
        <v>248</v>
      </c>
      <c r="G974">
        <v>64</v>
      </c>
      <c r="H974" t="s">
        <v>12</v>
      </c>
      <c r="I974" t="s">
        <v>28</v>
      </c>
    </row>
    <row r="975" spans="1:9" x14ac:dyDescent="0.35">
      <c r="A975" t="s">
        <v>1096</v>
      </c>
      <c r="B975" t="s">
        <v>469</v>
      </c>
      <c r="C975" t="s">
        <v>27</v>
      </c>
      <c r="D975" s="1">
        <v>45028</v>
      </c>
      <c r="E975">
        <v>468</v>
      </c>
      <c r="F975">
        <v>93</v>
      </c>
      <c r="G975">
        <v>375</v>
      </c>
      <c r="H975" t="s">
        <v>12</v>
      </c>
      <c r="I975" t="s">
        <v>24</v>
      </c>
    </row>
    <row r="976" spans="1:9" x14ac:dyDescent="0.35">
      <c r="A976" t="s">
        <v>1097</v>
      </c>
      <c r="B976" t="s">
        <v>54</v>
      </c>
      <c r="C976" t="s">
        <v>31</v>
      </c>
      <c r="D976" s="1">
        <v>45317</v>
      </c>
      <c r="E976">
        <v>544</v>
      </c>
      <c r="F976">
        <v>34</v>
      </c>
      <c r="G976">
        <v>510</v>
      </c>
      <c r="H976" t="s">
        <v>12</v>
      </c>
      <c r="I976" t="s">
        <v>32</v>
      </c>
    </row>
    <row r="977" spans="1:9" x14ac:dyDescent="0.35">
      <c r="A977" t="s">
        <v>1098</v>
      </c>
      <c r="B977" t="s">
        <v>78</v>
      </c>
      <c r="C977" t="s">
        <v>31</v>
      </c>
      <c r="D977" s="1">
        <v>45067</v>
      </c>
      <c r="E977">
        <v>863</v>
      </c>
      <c r="F977">
        <v>208</v>
      </c>
      <c r="G977">
        <v>655</v>
      </c>
      <c r="H977" t="s">
        <v>12</v>
      </c>
      <c r="I977" t="s">
        <v>28</v>
      </c>
    </row>
    <row r="978" spans="1:9" x14ac:dyDescent="0.35">
      <c r="A978" t="s">
        <v>1099</v>
      </c>
      <c r="B978" t="s">
        <v>42</v>
      </c>
      <c r="C978" t="s">
        <v>16</v>
      </c>
      <c r="D978" s="1">
        <v>45454</v>
      </c>
      <c r="E978">
        <v>629</v>
      </c>
      <c r="F978">
        <v>212</v>
      </c>
      <c r="G978">
        <v>417</v>
      </c>
      <c r="H978" t="s">
        <v>12</v>
      </c>
      <c r="I978" t="s">
        <v>28</v>
      </c>
    </row>
    <row r="979" spans="1:9" x14ac:dyDescent="0.35">
      <c r="A979" t="s">
        <v>1100</v>
      </c>
      <c r="B979" t="s">
        <v>238</v>
      </c>
      <c r="C979" t="s">
        <v>19</v>
      </c>
      <c r="D979" s="1">
        <v>45153</v>
      </c>
      <c r="E979">
        <v>919</v>
      </c>
      <c r="F979">
        <v>798</v>
      </c>
      <c r="G979">
        <v>121</v>
      </c>
      <c r="H979" t="s">
        <v>12</v>
      </c>
      <c r="I979" t="s">
        <v>28</v>
      </c>
    </row>
    <row r="980" spans="1:9" x14ac:dyDescent="0.35">
      <c r="A980" t="s">
        <v>1101</v>
      </c>
      <c r="B980" t="s">
        <v>93</v>
      </c>
      <c r="C980" t="s">
        <v>11</v>
      </c>
      <c r="D980" s="1">
        <v>44933</v>
      </c>
      <c r="E980">
        <v>926</v>
      </c>
      <c r="F980">
        <v>568</v>
      </c>
      <c r="G980">
        <v>358</v>
      </c>
      <c r="H980" t="s">
        <v>12</v>
      </c>
      <c r="I980" t="s">
        <v>28</v>
      </c>
    </row>
    <row r="981" spans="1:9" x14ac:dyDescent="0.35">
      <c r="A981" t="s">
        <v>1102</v>
      </c>
      <c r="B981" t="s">
        <v>337</v>
      </c>
      <c r="C981" t="s">
        <v>23</v>
      </c>
      <c r="D981" s="1">
        <v>44976</v>
      </c>
      <c r="E981">
        <v>311</v>
      </c>
      <c r="F981">
        <v>0</v>
      </c>
      <c r="G981">
        <v>311</v>
      </c>
      <c r="H981" t="s">
        <v>12</v>
      </c>
      <c r="I981" t="s">
        <v>24</v>
      </c>
    </row>
    <row r="982" spans="1:9" x14ac:dyDescent="0.35">
      <c r="A982" t="s">
        <v>1103</v>
      </c>
      <c r="B982" t="s">
        <v>184</v>
      </c>
      <c r="C982" t="s">
        <v>19</v>
      </c>
      <c r="D982" s="1">
        <v>45501</v>
      </c>
      <c r="E982">
        <v>162</v>
      </c>
      <c r="F982">
        <v>16</v>
      </c>
      <c r="G982">
        <v>146</v>
      </c>
      <c r="H982" t="s">
        <v>12</v>
      </c>
      <c r="I982" t="s">
        <v>13</v>
      </c>
    </row>
    <row r="983" spans="1:9" x14ac:dyDescent="0.35">
      <c r="A983" t="s">
        <v>1104</v>
      </c>
      <c r="B983" t="s">
        <v>115</v>
      </c>
      <c r="C983" t="s">
        <v>16</v>
      </c>
      <c r="D983" s="1">
        <v>44973</v>
      </c>
      <c r="E983">
        <v>374</v>
      </c>
      <c r="F983">
        <v>57</v>
      </c>
      <c r="G983">
        <v>317</v>
      </c>
      <c r="H983" t="s">
        <v>12</v>
      </c>
      <c r="I983" t="s">
        <v>13</v>
      </c>
    </row>
    <row r="984" spans="1:9" x14ac:dyDescent="0.35">
      <c r="A984" t="s">
        <v>1105</v>
      </c>
      <c r="B984" t="s">
        <v>89</v>
      </c>
      <c r="C984" t="s">
        <v>27</v>
      </c>
      <c r="D984" s="1">
        <v>45316</v>
      </c>
      <c r="E984">
        <v>830</v>
      </c>
      <c r="F984">
        <v>25</v>
      </c>
      <c r="G984">
        <v>805</v>
      </c>
      <c r="H984" t="s">
        <v>12</v>
      </c>
      <c r="I984" t="s">
        <v>28</v>
      </c>
    </row>
    <row r="985" spans="1:9" x14ac:dyDescent="0.35">
      <c r="A985" t="s">
        <v>1106</v>
      </c>
      <c r="B985" t="s">
        <v>80</v>
      </c>
      <c r="C985" t="s">
        <v>19</v>
      </c>
      <c r="D985" s="1">
        <v>45091</v>
      </c>
      <c r="E985">
        <v>423</v>
      </c>
      <c r="F985">
        <v>67</v>
      </c>
      <c r="G985">
        <v>356</v>
      </c>
      <c r="H985" t="s">
        <v>12</v>
      </c>
      <c r="I985" t="s">
        <v>20</v>
      </c>
    </row>
    <row r="986" spans="1:9" x14ac:dyDescent="0.35">
      <c r="A986" t="s">
        <v>1107</v>
      </c>
      <c r="B986" t="s">
        <v>56</v>
      </c>
      <c r="C986" t="s">
        <v>16</v>
      </c>
      <c r="D986" s="1">
        <v>45478</v>
      </c>
      <c r="E986">
        <v>761</v>
      </c>
      <c r="F986">
        <v>674</v>
      </c>
      <c r="G986">
        <v>87</v>
      </c>
      <c r="H986" t="s">
        <v>12</v>
      </c>
      <c r="I986" t="s">
        <v>28</v>
      </c>
    </row>
    <row r="987" spans="1:9" x14ac:dyDescent="0.35">
      <c r="A987" t="s">
        <v>1108</v>
      </c>
      <c r="B987" t="s">
        <v>138</v>
      </c>
      <c r="C987" t="s">
        <v>11</v>
      </c>
      <c r="D987" s="1">
        <v>45224</v>
      </c>
      <c r="E987">
        <v>140</v>
      </c>
      <c r="F987">
        <v>30</v>
      </c>
      <c r="G987">
        <v>110</v>
      </c>
      <c r="H987" t="s">
        <v>12</v>
      </c>
      <c r="I987" t="s">
        <v>13</v>
      </c>
    </row>
    <row r="988" spans="1:9" x14ac:dyDescent="0.35">
      <c r="A988" t="s">
        <v>1109</v>
      </c>
      <c r="B988" t="s">
        <v>83</v>
      </c>
      <c r="C988" t="s">
        <v>11</v>
      </c>
      <c r="D988" s="1">
        <v>45515</v>
      </c>
      <c r="E988">
        <v>961</v>
      </c>
      <c r="F988">
        <v>616</v>
      </c>
      <c r="G988">
        <v>345</v>
      </c>
      <c r="H988" t="s">
        <v>12</v>
      </c>
      <c r="I988" t="s">
        <v>32</v>
      </c>
    </row>
    <row r="989" spans="1:9" x14ac:dyDescent="0.35">
      <c r="A989" t="s">
        <v>1110</v>
      </c>
      <c r="B989" t="s">
        <v>125</v>
      </c>
      <c r="C989" t="s">
        <v>23</v>
      </c>
      <c r="D989" s="1">
        <v>45040</v>
      </c>
      <c r="E989">
        <v>273</v>
      </c>
      <c r="F989">
        <v>152</v>
      </c>
      <c r="G989">
        <v>121</v>
      </c>
      <c r="H989" t="s">
        <v>12</v>
      </c>
      <c r="I989" t="s">
        <v>20</v>
      </c>
    </row>
    <row r="990" spans="1:9" x14ac:dyDescent="0.35">
      <c r="A990" t="s">
        <v>1111</v>
      </c>
      <c r="B990" t="s">
        <v>145</v>
      </c>
      <c r="C990" t="s">
        <v>31</v>
      </c>
      <c r="D990" s="1">
        <v>45364</v>
      </c>
      <c r="E990">
        <v>443</v>
      </c>
      <c r="F990">
        <v>58</v>
      </c>
      <c r="G990">
        <v>385</v>
      </c>
      <c r="H990" t="s">
        <v>12</v>
      </c>
      <c r="I990" t="s">
        <v>13</v>
      </c>
    </row>
    <row r="991" spans="1:9" x14ac:dyDescent="0.35">
      <c r="A991" t="s">
        <v>1112</v>
      </c>
      <c r="B991" t="s">
        <v>134</v>
      </c>
      <c r="C991" t="s">
        <v>31</v>
      </c>
      <c r="D991" s="1">
        <v>45230</v>
      </c>
      <c r="E991">
        <v>824</v>
      </c>
      <c r="F991">
        <v>715</v>
      </c>
      <c r="G991">
        <v>109</v>
      </c>
      <c r="H991" t="s">
        <v>12</v>
      </c>
      <c r="I991" t="s">
        <v>45</v>
      </c>
    </row>
    <row r="992" spans="1:9" x14ac:dyDescent="0.35">
      <c r="A992" t="s">
        <v>1113</v>
      </c>
      <c r="B992" t="s">
        <v>223</v>
      </c>
      <c r="C992" t="s">
        <v>16</v>
      </c>
      <c r="D992" s="1">
        <v>45493</v>
      </c>
      <c r="E992">
        <v>819</v>
      </c>
      <c r="F992">
        <v>788</v>
      </c>
      <c r="G992">
        <v>31</v>
      </c>
      <c r="H992" t="s">
        <v>12</v>
      </c>
      <c r="I992" t="s">
        <v>13</v>
      </c>
    </row>
    <row r="993" spans="1:9" x14ac:dyDescent="0.35">
      <c r="A993" t="s">
        <v>1114</v>
      </c>
      <c r="B993" t="s">
        <v>161</v>
      </c>
      <c r="C993" t="s">
        <v>27</v>
      </c>
      <c r="D993" s="1">
        <v>45000</v>
      </c>
      <c r="E993">
        <v>840</v>
      </c>
      <c r="F993">
        <v>484</v>
      </c>
      <c r="G993">
        <v>356</v>
      </c>
      <c r="H993" t="s">
        <v>12</v>
      </c>
      <c r="I993" t="s">
        <v>24</v>
      </c>
    </row>
    <row r="994" spans="1:9" x14ac:dyDescent="0.35">
      <c r="A994" t="s">
        <v>1115</v>
      </c>
      <c r="B994" t="s">
        <v>78</v>
      </c>
      <c r="C994" t="s">
        <v>19</v>
      </c>
      <c r="D994" s="1">
        <v>44997</v>
      </c>
      <c r="E994">
        <v>647</v>
      </c>
      <c r="F994">
        <v>383</v>
      </c>
      <c r="G994">
        <v>264</v>
      </c>
      <c r="H994" t="s">
        <v>12</v>
      </c>
      <c r="I994" t="s">
        <v>28</v>
      </c>
    </row>
    <row r="995" spans="1:9" x14ac:dyDescent="0.35">
      <c r="A995" t="s">
        <v>1116</v>
      </c>
      <c r="B995" t="s">
        <v>269</v>
      </c>
      <c r="C995" t="s">
        <v>31</v>
      </c>
      <c r="D995" s="1">
        <v>45497</v>
      </c>
      <c r="E995">
        <v>645</v>
      </c>
      <c r="F995">
        <v>294</v>
      </c>
      <c r="G995">
        <v>351</v>
      </c>
      <c r="H995" t="s">
        <v>12</v>
      </c>
      <c r="I995" t="s">
        <v>24</v>
      </c>
    </row>
    <row r="996" spans="1:9" x14ac:dyDescent="0.35">
      <c r="A996" t="s">
        <v>1117</v>
      </c>
      <c r="B996" t="s">
        <v>469</v>
      </c>
      <c r="C996" t="s">
        <v>23</v>
      </c>
      <c r="D996" s="1">
        <v>45508</v>
      </c>
      <c r="E996">
        <v>557</v>
      </c>
      <c r="F996">
        <v>54</v>
      </c>
      <c r="G996">
        <v>503</v>
      </c>
      <c r="H996" t="s">
        <v>12</v>
      </c>
      <c r="I996" t="s">
        <v>20</v>
      </c>
    </row>
    <row r="997" spans="1:9" x14ac:dyDescent="0.35">
      <c r="A997" t="s">
        <v>1118</v>
      </c>
      <c r="B997" t="s">
        <v>228</v>
      </c>
      <c r="C997" t="s">
        <v>16</v>
      </c>
      <c r="D997" s="1">
        <v>45361</v>
      </c>
      <c r="E997">
        <v>591</v>
      </c>
      <c r="F997">
        <v>104</v>
      </c>
      <c r="G997">
        <v>487</v>
      </c>
      <c r="H997" t="s">
        <v>12</v>
      </c>
      <c r="I997" t="s">
        <v>13</v>
      </c>
    </row>
    <row r="998" spans="1:9" x14ac:dyDescent="0.35">
      <c r="A998" t="s">
        <v>1119</v>
      </c>
      <c r="B998" t="s">
        <v>127</v>
      </c>
      <c r="C998" t="s">
        <v>31</v>
      </c>
      <c r="D998" s="1">
        <v>45513</v>
      </c>
      <c r="E998">
        <v>539</v>
      </c>
      <c r="F998">
        <v>353</v>
      </c>
      <c r="G998">
        <v>186</v>
      </c>
      <c r="H998" t="s">
        <v>12</v>
      </c>
      <c r="I998" t="s">
        <v>13</v>
      </c>
    </row>
    <row r="999" spans="1:9" x14ac:dyDescent="0.35">
      <c r="A999" t="s">
        <v>1120</v>
      </c>
      <c r="B999" t="s">
        <v>63</v>
      </c>
      <c r="C999" t="s">
        <v>19</v>
      </c>
      <c r="D999" s="1">
        <v>45124</v>
      </c>
      <c r="E999">
        <v>463</v>
      </c>
      <c r="F999">
        <v>354</v>
      </c>
      <c r="G999">
        <v>109</v>
      </c>
      <c r="H999" t="s">
        <v>12</v>
      </c>
      <c r="I999" t="s">
        <v>13</v>
      </c>
    </row>
    <row r="1000" spans="1:9" x14ac:dyDescent="0.35">
      <c r="A1000" t="s">
        <v>1121</v>
      </c>
      <c r="B1000" t="s">
        <v>506</v>
      </c>
      <c r="C1000" t="s">
        <v>23</v>
      </c>
      <c r="D1000" s="1">
        <v>45463</v>
      </c>
      <c r="E1000">
        <v>300</v>
      </c>
      <c r="F1000">
        <v>238</v>
      </c>
      <c r="G1000">
        <v>62</v>
      </c>
      <c r="H1000" t="s">
        <v>12</v>
      </c>
      <c r="I1000" t="s">
        <v>28</v>
      </c>
    </row>
    <row r="1001" spans="1:9" x14ac:dyDescent="0.35">
      <c r="A1001" t="s">
        <v>1122</v>
      </c>
      <c r="B1001" t="s">
        <v>80</v>
      </c>
      <c r="C1001" t="s">
        <v>31</v>
      </c>
      <c r="D1001" s="1">
        <v>44999</v>
      </c>
      <c r="E1001">
        <v>284</v>
      </c>
      <c r="F1001">
        <v>208</v>
      </c>
      <c r="G1001">
        <v>76</v>
      </c>
      <c r="H1001" t="s">
        <v>12</v>
      </c>
      <c r="I1001"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53D6-CCC6-4B25-8E77-9FD05B70CD27}">
  <dimension ref="A2:J23"/>
  <sheetViews>
    <sheetView topLeftCell="A7" zoomScaleNormal="100" workbookViewId="0">
      <selection activeCell="D6" sqref="D6"/>
    </sheetView>
  </sheetViews>
  <sheetFormatPr defaultRowHeight="14.5" x14ac:dyDescent="0.35"/>
  <cols>
    <col min="1" max="1" width="12.36328125" bestFit="1" customWidth="1"/>
    <col min="2" max="2" width="18.36328125" bestFit="1" customWidth="1"/>
    <col min="3" max="3" width="18.1796875" bestFit="1" customWidth="1"/>
    <col min="4" max="4" width="8.7265625" customWidth="1"/>
  </cols>
  <sheetData>
    <row r="2" spans="1:2" x14ac:dyDescent="0.35">
      <c r="A2" s="3" t="s">
        <v>1123</v>
      </c>
      <c r="B2" t="s">
        <v>1125</v>
      </c>
    </row>
    <row r="3" spans="1:2" x14ac:dyDescent="0.35">
      <c r="A3" s="4" t="s">
        <v>32</v>
      </c>
      <c r="B3">
        <v>45171</v>
      </c>
    </row>
    <row r="4" spans="1:2" x14ac:dyDescent="0.35">
      <c r="A4" s="4" t="s">
        <v>20</v>
      </c>
      <c r="B4">
        <v>46062</v>
      </c>
    </row>
    <row r="5" spans="1:2" x14ac:dyDescent="0.35">
      <c r="A5" s="4" t="s">
        <v>28</v>
      </c>
      <c r="B5">
        <v>44303</v>
      </c>
    </row>
    <row r="6" spans="1:2" x14ac:dyDescent="0.35">
      <c r="A6" s="4" t="s">
        <v>45</v>
      </c>
      <c r="B6">
        <v>40147</v>
      </c>
    </row>
    <row r="7" spans="1:2" x14ac:dyDescent="0.35">
      <c r="A7" s="4" t="s">
        <v>24</v>
      </c>
      <c r="B7">
        <v>48717</v>
      </c>
    </row>
    <row r="8" spans="1:2" x14ac:dyDescent="0.35">
      <c r="A8" s="4" t="s">
        <v>13</v>
      </c>
      <c r="B8">
        <v>44081</v>
      </c>
    </row>
    <row r="9" spans="1:2" x14ac:dyDescent="0.35">
      <c r="A9" s="4" t="s">
        <v>1124</v>
      </c>
      <c r="B9">
        <v>268481</v>
      </c>
    </row>
    <row r="12" spans="1:2" x14ac:dyDescent="0.35">
      <c r="A12" s="3" t="s">
        <v>1123</v>
      </c>
      <c r="B12" t="s">
        <v>1125</v>
      </c>
    </row>
    <row r="13" spans="1:2" x14ac:dyDescent="0.35">
      <c r="A13" s="4" t="s">
        <v>1126</v>
      </c>
      <c r="B13">
        <v>165815</v>
      </c>
    </row>
    <row r="14" spans="1:2" x14ac:dyDescent="0.35">
      <c r="A14" s="4" t="s">
        <v>1127</v>
      </c>
      <c r="B14">
        <v>102666</v>
      </c>
    </row>
    <row r="15" spans="1:2" x14ac:dyDescent="0.35">
      <c r="A15" s="4" t="s">
        <v>1124</v>
      </c>
      <c r="B15">
        <v>268481</v>
      </c>
    </row>
    <row r="17" spans="1:10" x14ac:dyDescent="0.35">
      <c r="A17" t="s">
        <v>1129</v>
      </c>
      <c r="B17" t="s">
        <v>1125</v>
      </c>
      <c r="J17" t="s">
        <v>1130</v>
      </c>
    </row>
    <row r="18" spans="1:10" x14ac:dyDescent="0.35">
      <c r="A18">
        <v>276546</v>
      </c>
      <c r="B18">
        <v>268481</v>
      </c>
    </row>
    <row r="20" spans="1:10" x14ac:dyDescent="0.35">
      <c r="A20" s="3" t="s">
        <v>1123</v>
      </c>
      <c r="B20" t="s">
        <v>1128</v>
      </c>
    </row>
    <row r="21" spans="1:10" x14ac:dyDescent="0.35">
      <c r="A21" s="4" t="s">
        <v>165</v>
      </c>
      <c r="B21">
        <v>1</v>
      </c>
    </row>
    <row r="22" spans="1:10" x14ac:dyDescent="0.35">
      <c r="A22" s="4" t="s">
        <v>12</v>
      </c>
      <c r="B22">
        <v>999</v>
      </c>
    </row>
    <row r="23" spans="1:10" x14ac:dyDescent="0.35">
      <c r="A23" s="4" t="s">
        <v>1124</v>
      </c>
      <c r="B23">
        <v>1000</v>
      </c>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EA0E-C8DA-4DDC-9D33-E268C31AD7CE}">
  <dimension ref="B7:G8"/>
  <sheetViews>
    <sheetView showGridLines="0" showRowColHeaders="0" tabSelected="1" zoomScaleNormal="100" workbookViewId="0">
      <selection activeCell="F26" sqref="F26"/>
    </sheetView>
  </sheetViews>
  <sheetFormatPr defaultRowHeight="14.5" x14ac:dyDescent="0.35"/>
  <cols>
    <col min="2" max="2" width="8.453125" customWidth="1"/>
    <col min="4" max="4" width="10.90625" customWidth="1"/>
    <col min="6" max="6" width="10.08984375" customWidth="1"/>
  </cols>
  <sheetData>
    <row r="7" spans="2:7" x14ac:dyDescent="0.35">
      <c r="B7" s="7" t="s">
        <v>1131</v>
      </c>
      <c r="C7" s="7"/>
      <c r="D7" s="7" t="s">
        <v>1132</v>
      </c>
      <c r="E7" s="7"/>
      <c r="F7" s="7" t="s">
        <v>1133</v>
      </c>
      <c r="G7" s="7"/>
    </row>
    <row r="8" spans="2:7" x14ac:dyDescent="0.35">
      <c r="B8" s="6">
        <f>GETPIVOTDATA("Paid Amount",Pivot!$A$2)</f>
        <v>268481</v>
      </c>
      <c r="D8" s="5">
        <f>GETPIVOTDATA("Sum of Adjustment Amount",Pivot!$A$17)</f>
        <v>276546</v>
      </c>
      <c r="F8" s="5">
        <f>GETPIVOTDATA("Account No",Pivot!$A$20)</f>
        <v>1000</v>
      </c>
    </row>
  </sheetData>
  <mergeCells count="3">
    <mergeCell ref="B7:C7"/>
    <mergeCell ref="D7:E7"/>
    <mergeCell ref="F7:G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Healthcare_data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Lithvina</dc:creator>
  <cp:lastModifiedBy>Lithvina</cp:lastModifiedBy>
  <dcterms:created xsi:type="dcterms:W3CDTF">2026-01-09T07:00:04Z</dcterms:created>
  <dcterms:modified xsi:type="dcterms:W3CDTF">2026-01-22T06:49:11Z</dcterms:modified>
</cp:coreProperties>
</file>